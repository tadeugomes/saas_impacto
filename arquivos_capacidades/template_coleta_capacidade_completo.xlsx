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erços" sheetId="1" state="visible" r:id="rId1"/>
    <sheet xmlns:r="http://schemas.openxmlformats.org/officeDocument/2006/relationships" name="2. Equipamentos Cais" sheetId="2" state="visible" r:id="rId2"/>
    <sheet xmlns:r="http://schemas.openxmlformats.org/officeDocument/2006/relationships" name="3. Fatores Operacionais" sheetId="3" state="visible" r:id="rId3"/>
    <sheet xmlns:r="http://schemas.openxmlformats.org/officeDocument/2006/relationships" name="4. Armazenagem" sheetId="4" state="visible" r:id="rId4"/>
    <sheet xmlns:r="http://schemas.openxmlformats.org/officeDocument/2006/relationships" name="5. Hinterlândia Rodo" sheetId="5" state="visible" r:id="rId5"/>
    <sheet xmlns:r="http://schemas.openxmlformats.org/officeDocument/2006/relationships" name="6. Hinterlândia Ferro" sheetId="6" state="visible" r:id="rId6"/>
    <sheet xmlns:r="http://schemas.openxmlformats.org/officeDocument/2006/relationships" name="7. Canal de Acesso" sheetId="7" state="visible" r:id="rId7"/>
    <sheet xmlns:r="http://schemas.openxmlformats.org/officeDocument/2006/relationships" name="8. Cenários e PIT" sheetId="8" state="visible" r:id="rId8"/>
    <sheet xmlns:r="http://schemas.openxmlformats.org/officeDocument/2006/relationships" name="9. Referências" sheetId="9" state="visible" r:id="rId9"/>
    <sheet xmlns:r="http://schemas.openxmlformats.org/officeDocument/2006/relationships" name="10. Instruçõ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4" borderId="1" applyAlignment="1" pivotButton="0" quotePrefix="0" xfId="0">
      <alignment vertical="top" wrapText="1"/>
    </xf>
    <xf numFmtId="0" fontId="2" fillId="5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6" customWidth="1" min="4" max="4"/>
    <col width="20" customWidth="1" min="5" max="5"/>
    <col width="22" customWidth="1" min="6" max="6"/>
    <col width="18" customWidth="1" min="7" max="7"/>
    <col width="24" customWidth="1" min="8" max="8"/>
    <col width="20" customWidth="1" min="9" max="9"/>
    <col width="20" customWidth="1" min="10" max="10"/>
    <col width="20" customWidth="1" min="11" max="11"/>
    <col width="22" customWidth="1" min="12" max="12"/>
    <col width="20" customWidth="1" min="13" max="13"/>
    <col width="18" customWidth="1" min="14" max="14"/>
    <col width="20" customWidth="1" min="15" max="15"/>
    <col width="35" customWidth="1" min="16" max="16"/>
  </cols>
  <sheetData>
    <row r="1">
      <c r="A1" s="1" t="inlineStr">
        <is>
          <t>Porto / Terminal</t>
        </is>
      </c>
      <c r="B1" s="1" t="inlineStr">
        <is>
          <t>Código do Berço</t>
        </is>
      </c>
      <c r="C1" s="1" t="inlineStr">
        <is>
          <t>Nome / Apelido</t>
        </is>
      </c>
      <c r="D1" s="1" t="inlineStr">
        <is>
          <t>Comprimento (m)</t>
        </is>
      </c>
      <c r="E1" s="1" t="inlineStr">
        <is>
          <t>Calado Operacional (m)</t>
        </is>
      </c>
      <c r="F1" s="1" t="inlineStr">
        <is>
          <t>Tipo de Terminal</t>
        </is>
      </c>
      <c r="G1" s="1" t="inlineStr">
        <is>
          <t>Regime Jurídico</t>
        </is>
      </c>
      <c r="H1" s="1" t="inlineStr">
        <is>
          <t>Perfil de Carga Principal</t>
        </is>
      </c>
      <c r="I1" s="1" t="inlineStr">
        <is>
          <t>Perfil Secundário</t>
        </is>
      </c>
      <c r="J1" s="1" t="inlineStr">
        <is>
          <t>Regime Operacional</t>
        </is>
      </c>
      <c r="K1" s="1" t="inlineStr">
        <is>
          <t>Berço Conjugado? (S/N)</t>
        </is>
      </c>
      <c r="L1" s="1" t="inlineStr">
        <is>
          <t>Fator Conjugação (F_conj)</t>
        </is>
      </c>
      <c r="M1" s="1" t="inlineStr">
        <is>
          <t>Recebe Cruzeiros? (S/N)</t>
        </is>
      </c>
      <c r="N1" s="1" t="inlineStr">
        <is>
          <t>Escalas Cruzeiro/ano</t>
        </is>
      </c>
      <c r="O1" s="1" t="inlineStr">
        <is>
          <t>Permanência Cruzeiro (h)</t>
        </is>
      </c>
      <c r="P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PNG0209</t>
        </is>
      </c>
      <c r="C2" s="2" t="inlineStr">
        <is>
          <t>Berço 209 - Corredor Export.</t>
        </is>
      </c>
      <c r="D2" s="2" t="n">
        <v>315</v>
      </c>
      <c r="E2" s="2" t="n">
        <v>13.5</v>
      </c>
      <c r="F2" s="2" t="inlineStr">
        <is>
          <t>Especializado</t>
        </is>
      </c>
      <c r="G2" s="2" t="inlineStr">
        <is>
          <t>Arrendado</t>
        </is>
      </c>
      <c r="H2" s="2" t="inlineStr">
        <is>
          <t>Granel Sólido</t>
        </is>
      </c>
      <c r="I2" s="2" t="inlineStr"/>
      <c r="J2" s="2" t="inlineStr">
        <is>
          <t>24/7</t>
        </is>
      </c>
      <c r="K2" s="2" t="inlineStr">
        <is>
          <t>N</t>
        </is>
      </c>
      <c r="L2" s="2" t="n">
        <v>1</v>
      </c>
      <c r="M2" s="2" t="inlineStr">
        <is>
          <t>N</t>
        </is>
      </c>
      <c r="N2" s="2" t="inlineStr"/>
      <c r="O2" s="2" t="inlineStr"/>
      <c r="P2" s="2" t="inlineStr">
        <is>
          <t>Corredor de exportação de grãos</t>
        </is>
      </c>
    </row>
    <row r="3">
      <c r="A3" s="2" t="inlineStr">
        <is>
          <t>Santos (SP)</t>
        </is>
      </c>
      <c r="B3" s="2" t="inlineStr">
        <is>
          <t>SSZ0812</t>
        </is>
      </c>
      <c r="C3" s="2" t="inlineStr">
        <is>
          <t>BTP Berço 1</t>
        </is>
      </c>
      <c r="D3" s="2" t="n">
        <v>340</v>
      </c>
      <c r="E3" s="2" t="n">
        <v>15.5</v>
      </c>
      <c r="F3" s="2" t="inlineStr">
        <is>
          <t>Especializado</t>
        </is>
      </c>
      <c r="G3" s="2" t="inlineStr">
        <is>
          <t>Arrendado</t>
        </is>
      </c>
      <c r="H3" s="2" t="inlineStr">
        <is>
          <t>Contêiner</t>
        </is>
      </c>
      <c r="I3" s="2" t="inlineStr"/>
      <c r="J3" s="2" t="inlineStr">
        <is>
          <t>24/7</t>
        </is>
      </c>
      <c r="K3" s="2" t="inlineStr">
        <is>
          <t>N</t>
        </is>
      </c>
      <c r="L3" s="2" t="n">
        <v>1</v>
      </c>
      <c r="M3" s="2" t="inlineStr">
        <is>
          <t>N</t>
        </is>
      </c>
      <c r="N3" s="2" t="inlineStr"/>
      <c r="O3" s="2" t="inlineStr"/>
      <c r="P3" s="2" t="inlineStr">
        <is>
          <t>Terminal BTP - 3 portêineres STS</t>
        </is>
      </c>
    </row>
    <row r="4">
      <c r="A4" s="2" t="inlineStr">
        <is>
          <t>Rio de Janeiro (RJ)</t>
        </is>
      </c>
      <c r="B4" s="2" t="inlineStr">
        <is>
          <t>RJN0301</t>
        </is>
      </c>
      <c r="C4" s="2" t="inlineStr">
        <is>
          <t>Píer Mauá - Berço 1</t>
        </is>
      </c>
      <c r="D4" s="2" t="n">
        <v>280</v>
      </c>
      <c r="E4" s="2" t="n">
        <v>10</v>
      </c>
      <c r="F4" s="2" t="inlineStr">
        <is>
          <t>Multipropósito</t>
        </is>
      </c>
      <c r="G4" s="2" t="inlineStr">
        <is>
          <t>Público</t>
        </is>
      </c>
      <c r="H4" s="2" t="inlineStr">
        <is>
          <t>Carga Geral</t>
        </is>
      </c>
      <c r="I4" s="2" t="inlineStr">
        <is>
          <t>Contêiner</t>
        </is>
      </c>
      <c r="J4" s="2" t="inlineStr">
        <is>
          <t>24/7</t>
        </is>
      </c>
      <c r="K4" s="2" t="inlineStr">
        <is>
          <t>S</t>
        </is>
      </c>
      <c r="L4" s="2" t="n">
        <v>1.3</v>
      </c>
      <c r="M4" s="2" t="inlineStr">
        <is>
          <t>S</t>
        </is>
      </c>
      <c r="N4" s="2" t="n">
        <v>85</v>
      </c>
      <c r="O4" s="2" t="n">
        <v>18</v>
      </c>
      <c r="P4" s="2" t="inlineStr">
        <is>
          <t>Cruzeiros nov-abr; carga geral restante</t>
        </is>
      </c>
    </row>
  </sheetData>
  <dataValidations count="7">
    <dataValidation sqref="F2:F200" showDropDown="0" showInputMessage="0" showErrorMessage="0" allowBlank="1" type="list">
      <formula1>"Especializado,Multipropósito,Dedicado Contêiner,Granéis,Carga Geral"</formula1>
    </dataValidation>
    <dataValidation sqref="G2:G200" showDropDown="0" showInputMessage="0" showErrorMessage="0" allowBlank="1" type="list">
      <formula1>"Arrendado,Público,TUP,Uso Privativo"</formula1>
    </dataValidation>
    <dataValidation sqref="H2:H200" showDropDown="0" showInputMessage="0" showErrorMessage="0" allowBlank="1" type="list">
      <formula1>"Granel Sólido,Granel Líquido,Contêiner,Carga Geral,Ro-Ro,Misto"</formula1>
    </dataValidation>
    <dataValidation sqref="I2:I200" showDropDown="0" showInputMessage="0" showErrorMessage="0" allowBlank="1" type="list">
      <formula1>"Granel Sólido,Granel Líquido,Contêiner,Carga Geral,Ro-Ro,"</formula1>
    </dataValidation>
    <dataValidation sqref="J2:J200" showDropDown="0" showInputMessage="0" showErrorMessage="0" allowBlank="1" type="list">
      <formula1>"24/7,Turnos (2x8),Turnos (3x8),Diurno,Sob demanda"</formula1>
    </dataValidation>
    <dataValidation sqref="K2:K200" showDropDown="0" showInputMessage="0" showErrorMessage="0" allowBlank="1" type="list">
      <formula1>"S,N"</formula1>
    </dataValidation>
    <dataValidation sqref="M2:M200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25" customWidth="1" min="4" max="4"/>
    <col width="22" customWidth="1" min="5" max="5"/>
    <col width="22" customWidth="1" min="6" max="6"/>
    <col width="14" customWidth="1" min="7" max="7"/>
    <col width="16" customWidth="1" min="8" max="8"/>
    <col width="18" customWidth="1" min="9" max="9"/>
    <col width="18" customWidth="1" min="10" max="10"/>
    <col width="18" customWidth="1" min="11" max="11"/>
    <col width="35" customWidth="1" min="12" max="12"/>
  </cols>
  <sheetData>
    <row r="1">
      <c r="A1" s="1" t="inlineStr">
        <is>
          <t>Porto / Terminal</t>
        </is>
      </c>
      <c r="B1" s="1" t="inlineStr">
        <is>
          <t>Código do Berço</t>
        </is>
      </c>
      <c r="C1" s="1" t="inlineStr">
        <is>
          <t>Tipo de Equipamento</t>
        </is>
      </c>
      <c r="D1" s="1" t="inlineStr">
        <is>
          <t>Modelo / Fabricante</t>
        </is>
      </c>
      <c r="E1" s="1" t="inlineStr">
        <is>
          <t>Quantidade no Berço (n_i)</t>
        </is>
      </c>
      <c r="F1" s="1" t="inlineStr">
        <is>
          <t>Capacidade Nominal (P_i)</t>
        </is>
      </c>
      <c r="G1" s="1" t="inlineStr">
        <is>
          <t>Unidade de P_i</t>
        </is>
      </c>
      <c r="H1" s="1" t="inlineStr">
        <is>
          <t>Ano de Fabricação</t>
        </is>
      </c>
      <c r="I1" s="1" t="inlineStr">
        <is>
          <t>Estado Operacional</t>
        </is>
      </c>
      <c r="J1" s="1" t="inlineStr">
        <is>
          <t>Alcance / Outreach (m)</t>
        </is>
      </c>
      <c r="K1" s="1" t="inlineStr">
        <is>
          <t>Capacidade de Carga (t)</t>
        </is>
      </c>
      <c r="L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PNG0209</t>
        </is>
      </c>
      <c r="C2" s="2" t="inlineStr">
        <is>
          <t>Shiploader</t>
        </is>
      </c>
      <c r="D2" s="2" t="inlineStr">
        <is>
          <t>TMSA</t>
        </is>
      </c>
      <c r="E2" s="2" t="n">
        <v>2</v>
      </c>
      <c r="F2" s="2" t="n">
        <v>1500</v>
      </c>
      <c r="G2" s="2" t="inlineStr">
        <is>
          <t>t/h</t>
        </is>
      </c>
      <c r="H2" s="2" t="n">
        <v>2015</v>
      </c>
      <c r="I2" s="2" t="inlineStr">
        <is>
          <t>Operacional</t>
        </is>
      </c>
      <c r="J2" s="2" t="inlineStr"/>
      <c r="K2" s="2" t="inlineStr"/>
      <c r="L2" s="2" t="inlineStr">
        <is>
          <t>Esteira integrada</t>
        </is>
      </c>
    </row>
    <row r="3">
      <c r="A3" s="2" t="inlineStr">
        <is>
          <t>Santos (SP)</t>
        </is>
      </c>
      <c r="B3" s="2" t="inlineStr">
        <is>
          <t>SSZ0812</t>
        </is>
      </c>
      <c r="C3" s="2" t="inlineStr">
        <is>
          <t>Portêiner STS</t>
        </is>
      </c>
      <c r="D3" s="2" t="inlineStr">
        <is>
          <t>ZPMC STS-65</t>
        </is>
      </c>
      <c r="E3" s="2" t="n">
        <v>3</v>
      </c>
      <c r="F3" s="2" t="n">
        <v>30</v>
      </c>
      <c r="G3" s="2" t="inlineStr">
        <is>
          <t>mov/h</t>
        </is>
      </c>
      <c r="H3" s="2" t="n">
        <v>2018</v>
      </c>
      <c r="I3" s="2" t="inlineStr">
        <is>
          <t>Operacional</t>
        </is>
      </c>
      <c r="J3" s="2" t="n">
        <v>65</v>
      </c>
      <c r="K3" s="2" t="n">
        <v>65</v>
      </c>
      <c r="L3" s="2" t="inlineStr">
        <is>
          <t>Super Post-Panamax</t>
        </is>
      </c>
    </row>
    <row r="4">
      <c r="A4" s="2" t="inlineStr">
        <is>
          <t>Santos (SP)</t>
        </is>
      </c>
      <c r="B4" s="2" t="inlineStr">
        <is>
          <t>SSZ0812</t>
        </is>
      </c>
      <c r="C4" s="2" t="inlineStr">
        <is>
          <t>RTG (pátio)</t>
        </is>
      </c>
      <c r="D4" s="2" t="inlineStr">
        <is>
          <t>Kalmar RTG-16</t>
        </is>
      </c>
      <c r="E4" s="2" t="n">
        <v>8</v>
      </c>
      <c r="F4" s="2" t="n">
        <v>25</v>
      </c>
      <c r="G4" s="2" t="inlineStr">
        <is>
          <t>mov/h</t>
        </is>
      </c>
      <c r="H4" s="2" t="n">
        <v>2019</v>
      </c>
      <c r="I4" s="2" t="inlineStr">
        <is>
          <t>Operacional</t>
        </is>
      </c>
      <c r="J4" s="2" t="inlineStr"/>
      <c r="K4" s="2" t="n">
        <v>40</v>
      </c>
      <c r="L4" s="2" t="inlineStr">
        <is>
          <t>Retaguarda</t>
        </is>
      </c>
    </row>
  </sheetData>
  <dataValidations count="3">
    <dataValidation sqref="C2:C200" showDropDown="0" showInputMessage="0" showErrorMessage="0" allowBlank="1" type="list">
      <formula1>"Portêiner STS,MHC (Guindaste Móvel),Shiploader,Grab / Moega,Bomba / Dutos,Guindaste de Bordo,Guindaste de Terra,RTG (pátio),Reach Stacker,Empilhadeira,Esteira Transportadora,Rampa Ro-Ro,Tombador de Vagões,Moega Ferroviária,Outro"</formula1>
    </dataValidation>
    <dataValidation sqref="G2:G200" showDropDown="0" showInputMessage="0" showErrorMessage="0" allowBlank="1" type="list">
      <formula1>"t/h,mov/h,TEU/h,m³/h,veíc/h"</formula1>
    </dataValidation>
    <dataValidation sqref="I2:I200" showDropDown="0" showInputMessage="0" showErrorMessage="0" allowBlank="1" type="list">
      <formula1>"Operacional,Em manutenção,Desativado,Em instalação"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0" customWidth="1" min="4" max="4"/>
    <col width="28" customWidth="1" min="5" max="5"/>
    <col width="18" customWidth="1" min="6" max="6"/>
    <col width="28" customWidth="1" min="7" max="7"/>
    <col width="18" customWidth="1" min="8" max="8"/>
    <col width="30" customWidth="1" min="9" max="9"/>
    <col width="20" customWidth="1" min="10" max="10"/>
    <col width="16" customWidth="1" min="11" max="11"/>
    <col width="20" customWidth="1" min="12" max="12"/>
    <col width="20" customWidth="1" min="13" max="13"/>
    <col width="24" customWidth="1" min="14" max="14"/>
    <col width="22" customWidth="1" min="15" max="15"/>
    <col width="22" customWidth="1" min="16" max="16"/>
    <col width="35" customWidth="1" min="17" max="17"/>
  </cols>
  <sheetData>
    <row r="1">
      <c r="A1" s="1" t="inlineStr">
        <is>
          <t>Porto / Terminal</t>
        </is>
      </c>
      <c r="B1" s="1" t="inlineStr">
        <is>
          <t>Código do Berço</t>
        </is>
      </c>
      <c r="C1" s="1" t="inlineStr">
        <is>
          <t>Perfil de Carga</t>
        </is>
      </c>
      <c r="D1" s="1" t="inlineStr">
        <is>
          <t>f_d (descontinuidade)</t>
        </is>
      </c>
      <c r="E1" s="1" t="inlineStr">
        <is>
          <t>Método f_d</t>
        </is>
      </c>
      <c r="F1" s="1" t="inlineStr">
        <is>
          <t>η_op (eficiência)</t>
        </is>
      </c>
      <c r="G1" s="1" t="inlineStr">
        <is>
          <t>Método η_op</t>
        </is>
      </c>
      <c r="H1" s="1" t="inlineStr">
        <is>
          <t>f_seg (segurança)</t>
        </is>
      </c>
      <c r="I1" s="1" t="inlineStr">
        <is>
          <t>Justificativa f_seg</t>
        </is>
      </c>
      <c r="J1" s="1" t="inlineStr">
        <is>
          <t>Série Histórica (anos)</t>
        </is>
      </c>
      <c r="K1" s="1" t="inlineStr">
        <is>
          <t>CV Interanual (%)</t>
        </is>
      </c>
      <c r="L1" s="1" t="inlineStr">
        <is>
          <t>H_mnt Próprio (h/ano)</t>
        </is>
      </c>
      <c r="M1" s="1" t="inlineStr">
        <is>
          <t>H_out Próprio (h/ano)</t>
        </is>
      </c>
      <c r="N1" s="1" t="inlineStr">
        <is>
          <t>Meses de Safra (ex: fev-mai)</t>
        </is>
      </c>
      <c r="O1" s="1" t="inlineStr">
        <is>
          <t>Carga Higroscópica? (S/N)</t>
        </is>
      </c>
      <c r="P1" s="1" t="inlineStr">
        <is>
          <t>Umidade Máx Operação (%)</t>
        </is>
      </c>
      <c r="Q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PNG0209</t>
        </is>
      </c>
      <c r="C2" s="2" t="inlineStr">
        <is>
          <t>Granel Sólido</t>
        </is>
      </c>
      <c r="D2" s="2" t="n">
        <v>0.1</v>
      </c>
      <c r="E2" s="2" t="inlineStr">
        <is>
          <t>Padrão (sem registro T_setup)</t>
        </is>
      </c>
      <c r="F2" s="2" t="n">
        <v>0.72</v>
      </c>
      <c r="G2" s="2" t="inlineStr">
        <is>
          <t>Calculado: prancha ANTAQ ÷ P_nominal</t>
        </is>
      </c>
      <c r="H2" s="2" t="n">
        <v>0.9</v>
      </c>
      <c r="I2" s="2" t="inlineStr">
        <is>
          <t>Padrão (CV &lt; 15%)</t>
        </is>
      </c>
      <c r="J2" s="2" t="n">
        <v>8</v>
      </c>
      <c r="K2" s="2" t="n">
        <v>11.2</v>
      </c>
      <c r="L2" s="2" t="n">
        <v>200</v>
      </c>
      <c r="M2" s="2" t="n">
        <v>50</v>
      </c>
      <c r="N2" s="2" t="inlineStr">
        <is>
          <t>fev-mai</t>
        </is>
      </c>
      <c r="O2" s="2" t="inlineStr">
        <is>
          <t>S</t>
        </is>
      </c>
      <c r="P2" s="2" t="n">
        <v>85</v>
      </c>
      <c r="Q2" s="2" t="inlineStr">
        <is>
          <t>Soja: suspende com umidade &gt; 85%</t>
        </is>
      </c>
    </row>
    <row r="3">
      <c r="A3" s="2" t="inlineStr">
        <is>
          <t>Santos (SP)</t>
        </is>
      </c>
      <c r="B3" s="2" t="inlineStr">
        <is>
          <t>SSZ0812</t>
        </is>
      </c>
      <c r="C3" s="2" t="inlineStr">
        <is>
          <t>Contêiner</t>
        </is>
      </c>
      <c r="D3" s="2" t="n">
        <v>0.08</v>
      </c>
      <c r="E3" s="2" t="inlineStr">
        <is>
          <t>Estimado pelo terminal</t>
        </is>
      </c>
      <c r="F3" s="2" t="n">
        <v>0.68</v>
      </c>
      <c r="G3" s="2" t="inlineStr">
        <is>
          <t>Calculado: prancha ANTAQ ÷ 30 mov/h</t>
        </is>
      </c>
      <c r="H3" s="2" t="n">
        <v>0.9</v>
      </c>
      <c r="I3" s="2" t="inlineStr">
        <is>
          <t>Padrão</t>
        </is>
      </c>
      <c r="J3" s="2" t="n">
        <v>5</v>
      </c>
      <c r="K3" s="2" t="n">
        <v>8.5</v>
      </c>
      <c r="L3" s="2" t="n">
        <v>150</v>
      </c>
      <c r="M3" s="2" t="inlineStr"/>
      <c r="N3" s="2" t="inlineStr"/>
      <c r="O3" s="2" t="inlineStr">
        <is>
          <t>N</t>
        </is>
      </c>
      <c r="P3" s="2" t="inlineStr"/>
      <c r="Q3" s="2" t="inlineStr"/>
    </row>
  </sheetData>
  <dataValidations count="2">
    <dataValidation sqref="C2:C200" showDropDown="0" showInputMessage="0" showErrorMessage="0" allowBlank="1" type="list">
      <formula1>"Granel Sólido,Granel Líquido,Contêiner,Carga Geral,Ro-Ro"</formula1>
    </dataValidation>
    <dataValidation sqref="E2:E200" showDropDown="0" showInputMessage="0" showErrorMessage="0" allowBlank="1" type="list">
      <formula1>"Padrão (sem registro T_setup),Calculado: T_setup/Ta,Estimado pelo terminal,Entrevista operador"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  <col width="20" customWidth="1" min="4" max="4"/>
    <col width="16" customWidth="1" min="5" max="5"/>
    <col width="20" customWidth="1" min="6" max="6"/>
    <col width="16" customWidth="1" min="7" max="7"/>
    <col width="22" customWidth="1" min="8" max="8"/>
    <col width="14" customWidth="1" min="9" max="9"/>
    <col width="22" customWidth="1" min="10" max="10"/>
    <col width="18" customWidth="1" min="11" max="11"/>
    <col width="20" customWidth="1" min="12" max="12"/>
    <col width="24" customWidth="1" min="13" max="13"/>
    <col width="24" customWidth="1" min="14" max="14"/>
    <col width="22" customWidth="1" min="15" max="15"/>
    <col width="20" customWidth="1" min="16" max="16"/>
    <col width="35" customWidth="1" min="17" max="17"/>
  </cols>
  <sheetData>
    <row r="1">
      <c r="A1" s="1" t="inlineStr">
        <is>
          <t>Porto / Terminal</t>
        </is>
      </c>
      <c r="B1" s="1" t="inlineStr">
        <is>
          <t>Nome da Instalação</t>
        </is>
      </c>
      <c r="C1" s="1" t="inlineStr">
        <is>
          <t>Tipo de Instalação</t>
        </is>
      </c>
      <c r="D1" s="1" t="inlineStr">
        <is>
          <t>Perfil de Carga</t>
        </is>
      </c>
      <c r="E1" s="1" t="inlineStr">
        <is>
          <t>Área Total (m²)</t>
        </is>
      </c>
      <c r="F1" s="1" t="inlineStr">
        <is>
          <t>Área Útil - A_util (m²)</t>
        </is>
      </c>
      <c r="G1" s="1" t="inlineStr">
        <is>
          <t>Volume Total (m³)</t>
        </is>
      </c>
      <c r="H1" s="1" t="inlineStr">
        <is>
          <t>Densidade Estocagem (ρ)</t>
        </is>
      </c>
      <c r="I1" s="1" t="inlineStr">
        <is>
          <t>Unidade de ρ</t>
        </is>
      </c>
      <c r="J1" s="1" t="inlineStr">
        <is>
          <t>Altura Empilhamento (camadas)</t>
        </is>
      </c>
      <c r="K1" s="1" t="inlineStr">
        <is>
          <t>Fator Ocupação (f_s)</t>
        </is>
      </c>
      <c r="L1" s="1" t="inlineStr">
        <is>
          <t>Eficiência Estática (η_s)</t>
        </is>
      </c>
      <c r="M1" s="1" t="inlineStr">
        <is>
          <t>Dwell Time Primária (DT, dias)</t>
        </is>
      </c>
      <c r="N1" s="1" t="inlineStr">
        <is>
          <t>Dwell Time Retroárea (dias)</t>
        </is>
      </c>
      <c r="O1" s="1" t="inlineStr">
        <is>
          <t>DOA (dias operacionais/ano)</t>
        </is>
      </c>
      <c r="P1" s="1" t="inlineStr">
        <is>
          <t>Eficiência Dinâmica (η_d)</t>
        </is>
      </c>
      <c r="Q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Silo Público - APPA</t>
        </is>
      </c>
      <c r="C2" s="2" t="inlineStr">
        <is>
          <t>Silo vertical</t>
        </is>
      </c>
      <c r="D2" s="2" t="inlineStr">
        <is>
          <t>Granel Sólido</t>
        </is>
      </c>
      <c r="E2" s="2" t="inlineStr"/>
      <c r="F2" s="2" t="inlineStr"/>
      <c r="G2" s="2" t="n">
        <v>120000</v>
      </c>
      <c r="H2" s="2" t="n">
        <v>0.75</v>
      </c>
      <c r="I2" s="2" t="inlineStr">
        <is>
          <t>t/m³</t>
        </is>
      </c>
      <c r="J2" s="2" t="n">
        <v>1</v>
      </c>
      <c r="K2" s="2" t="n">
        <v>0.9</v>
      </c>
      <c r="L2" s="2" t="n">
        <v>0.9</v>
      </c>
      <c r="M2" s="2" t="n">
        <v>10</v>
      </c>
      <c r="N2" s="2" t="n">
        <v>30</v>
      </c>
      <c r="O2" s="2" t="n">
        <v>350</v>
      </c>
      <c r="P2" s="2" t="n">
        <v>0.85</v>
      </c>
      <c r="Q2" s="2" t="inlineStr">
        <is>
          <t>Soja e milho; sazonalidade safra</t>
        </is>
      </c>
    </row>
    <row r="3">
      <c r="A3" s="2" t="inlineStr">
        <is>
          <t>Santos (SP)</t>
        </is>
      </c>
      <c r="B3" s="2" t="inlineStr">
        <is>
          <t>Pátio BTP</t>
        </is>
      </c>
      <c r="C3" s="2" t="inlineStr">
        <is>
          <t>Pátio de contêineres</t>
        </is>
      </c>
      <c r="D3" s="2" t="inlineStr">
        <is>
          <t>Contêiner</t>
        </is>
      </c>
      <c r="E3" s="2" t="n">
        <v>250000</v>
      </c>
      <c r="F3" s="2" t="n">
        <v>180000</v>
      </c>
      <c r="G3" s="2" t="inlineStr"/>
      <c r="H3" s="2" t="n">
        <v>1.5</v>
      </c>
      <c r="I3" s="2" t="inlineStr">
        <is>
          <t>TEU/m²</t>
        </is>
      </c>
      <c r="J3" s="2" t="n">
        <v>4</v>
      </c>
      <c r="K3" s="2" t="n">
        <v>0.67</v>
      </c>
      <c r="L3" s="2" t="n">
        <v>0.7</v>
      </c>
      <c r="M3" s="2" t="n">
        <v>7</v>
      </c>
      <c r="N3" s="2" t="n">
        <v>20</v>
      </c>
      <c r="O3" s="2" t="n">
        <v>360</v>
      </c>
      <c r="P3" s="2" t="n">
        <v>0.9</v>
      </c>
      <c r="Q3" s="2" t="inlineStr">
        <is>
          <t>8 RTGs; max 5 camadas cheios, 7 vazios</t>
        </is>
      </c>
    </row>
    <row r="4">
      <c r="A4" s="2" t="inlineStr">
        <is>
          <t>Itaqui (MA)</t>
        </is>
      </c>
      <c r="B4" s="2" t="inlineStr">
        <is>
          <t>Tanque Farm TEGRAM</t>
        </is>
      </c>
      <c r="C4" s="2" t="inlineStr">
        <is>
          <t>Tanque</t>
        </is>
      </c>
      <c r="D4" s="2" t="inlineStr">
        <is>
          <t>Granel Líquido</t>
        </is>
      </c>
      <c r="E4" s="2" t="inlineStr"/>
      <c r="F4" s="2" t="inlineStr"/>
      <c r="G4" s="2" t="n">
        <v>85000</v>
      </c>
      <c r="H4" s="2" t="n">
        <v>0.82</v>
      </c>
      <c r="I4" s="2" t="inlineStr">
        <is>
          <t>t/m³</t>
        </is>
      </c>
      <c r="J4" s="2" t="n">
        <v>1</v>
      </c>
      <c r="K4" s="2" t="n">
        <v>0.95</v>
      </c>
      <c r="L4" s="2" t="n">
        <v>0.95</v>
      </c>
      <c r="M4" s="2" t="n">
        <v>15</v>
      </c>
      <c r="N4" s="2" t="n">
        <v>35</v>
      </c>
      <c r="O4" s="2" t="n">
        <v>360</v>
      </c>
      <c r="P4" s="2" t="n">
        <v>0.9</v>
      </c>
      <c r="Q4" s="2" t="inlineStr">
        <is>
          <t>Óleo de palma e combustíveis</t>
        </is>
      </c>
    </row>
    <row r="5">
      <c r="A5" s="2" t="inlineStr">
        <is>
          <t>Paranaguá (PR)</t>
        </is>
      </c>
      <c r="B5" s="2" t="inlineStr">
        <is>
          <t>Armazém 7</t>
        </is>
      </c>
      <c r="C5" s="2" t="inlineStr">
        <is>
          <t>Armazém coberto</t>
        </is>
      </c>
      <c r="D5" s="2" t="inlineStr">
        <is>
          <t>Carga Geral</t>
        </is>
      </c>
      <c r="E5" s="2" t="n">
        <v>8000</v>
      </c>
      <c r="F5" s="2" t="n">
        <v>6000</v>
      </c>
      <c r="G5" s="2" t="inlineStr"/>
      <c r="H5" s="2" t="n">
        <v>1.8</v>
      </c>
      <c r="I5" s="2" t="inlineStr">
        <is>
          <t>t/m²</t>
        </is>
      </c>
      <c r="J5" s="2" t="n">
        <v>2</v>
      </c>
      <c r="K5" s="2" t="n">
        <v>0.75</v>
      </c>
      <c r="L5" s="2" t="n">
        <v>0.75</v>
      </c>
      <c r="M5" s="2" t="n">
        <v>18</v>
      </c>
      <c r="N5" s="2" t="n">
        <v>45</v>
      </c>
      <c r="O5" s="2" t="n">
        <v>340</v>
      </c>
      <c r="P5" s="2" t="n">
        <v>0.7</v>
      </c>
      <c r="Q5" s="2" t="inlineStr">
        <is>
          <t>Carga geral paletizada</t>
        </is>
      </c>
    </row>
  </sheetData>
  <dataValidations count="3">
    <dataValidation sqref="C2:C200" showDropDown="0" showInputMessage="0" showErrorMessage="0" allowBlank="1" type="list">
      <formula1>"Silo vertical,Silo horizontal,Armazém coberto,Pátio descoberto,Pátio de contêineres,Tanque,Câmara fria,Outro"</formula1>
    </dataValidation>
    <dataValidation sqref="D2:D200" showDropDown="0" showInputMessage="0" showErrorMessage="0" allowBlank="1" type="list">
      <formula1>"Granel Sólido,Granel Líquido,Contêiner,Carga Geral,Ro-Ro"</formula1>
    </dataValidation>
    <dataValidation sqref="I2:I200" showDropDown="0" showInputMessage="0" showErrorMessage="0" allowBlank="1" type="list">
      <formula1>"t/m²,t/m³,TEU/m²,m³/m²,veíc/m²"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8" customWidth="1" min="4" max="4"/>
    <col width="18" customWidth="1" min="5" max="5"/>
    <col width="24" customWidth="1" min="6" max="6"/>
    <col width="18" customWidth="1" min="7" max="7"/>
    <col width="22" customWidth="1" min="8" max="8"/>
    <col width="20" customWidth="1" min="9" max="9"/>
    <col width="24" customWidth="1" min="10" max="10"/>
    <col width="25" customWidth="1" min="11" max="11"/>
    <col width="35" customWidth="1" min="12" max="12"/>
  </cols>
  <sheetData>
    <row r="1">
      <c r="A1" s="1" t="inlineStr">
        <is>
          <t>Porto / Terminal</t>
        </is>
      </c>
      <c r="B1" s="1" t="inlineStr">
        <is>
          <t>Componente</t>
        </is>
      </c>
      <c r="C1" s="1" t="inlineStr">
        <is>
          <t>Nº Faixas / Docas (N)</t>
        </is>
      </c>
      <c r="D1" s="1" t="inlineStr">
        <is>
          <t>Produtividade (veíc/h por faixa)</t>
        </is>
      </c>
      <c r="E1" s="1" t="inlineStr">
        <is>
          <t>Eficiência (η_p)</t>
        </is>
      </c>
      <c r="F1" s="1" t="inlineStr">
        <is>
          <t>Carga Útil Média (U, t/veíc)</t>
        </is>
      </c>
      <c r="G1" s="1" t="inlineStr">
        <is>
          <t>Fator de Carga (L_F)</t>
        </is>
      </c>
      <c r="H1" s="1" t="inlineStr">
        <is>
          <t>Horas Efetivas/ano (H_eff)</t>
        </is>
      </c>
      <c r="I1" s="1" t="inlineStr">
        <is>
          <t>Fator Sazonalidade (σ)</t>
        </is>
      </c>
      <c r="J1" s="1" t="inlineStr">
        <is>
          <t>Capacidade Pátio Triagem (veíc)</t>
        </is>
      </c>
      <c r="K1" s="1" t="inlineStr">
        <is>
          <t>Restrições Municipais</t>
        </is>
      </c>
      <c r="L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Gate de Entrada</t>
        </is>
      </c>
      <c r="C2" s="2" t="n">
        <v>4</v>
      </c>
      <c r="D2" s="2" t="n">
        <v>50</v>
      </c>
      <c r="E2" s="2" t="n">
        <v>0.85</v>
      </c>
      <c r="F2" s="2" t="n">
        <v>28</v>
      </c>
      <c r="G2" s="2" t="n">
        <v>0.85</v>
      </c>
      <c r="H2" s="2" t="n">
        <v>7000</v>
      </c>
      <c r="I2" s="2" t="n">
        <v>0.75</v>
      </c>
      <c r="J2" s="2" t="inlineStr"/>
      <c r="K2" s="2" t="inlineStr">
        <is>
          <t>Restrição noturna em área urbana</t>
        </is>
      </c>
      <c r="L2" s="2" t="inlineStr">
        <is>
          <t>Granéis agrícolas; pico na safra</t>
        </is>
      </c>
    </row>
    <row r="3">
      <c r="A3" s="2" t="inlineStr">
        <is>
          <t>Paranaguá (PR)</t>
        </is>
      </c>
      <c r="B3" s="2" t="inlineStr">
        <is>
          <t>Gate de Saída</t>
        </is>
      </c>
      <c r="C3" s="2" t="n">
        <v>3</v>
      </c>
      <c r="D3" s="2" t="n">
        <v>60</v>
      </c>
      <c r="E3" s="2" t="n">
        <v>0.85</v>
      </c>
      <c r="F3" s="2" t="n">
        <v>28</v>
      </c>
      <c r="G3" s="2" t="n">
        <v>0.85</v>
      </c>
      <c r="H3" s="2" t="n">
        <v>7000</v>
      </c>
      <c r="I3" s="2" t="n">
        <v>0.75</v>
      </c>
      <c r="J3" s="2" t="inlineStr"/>
      <c r="K3" s="2" t="inlineStr"/>
      <c r="L3" s="2" t="inlineStr">
        <is>
          <t>Menor fluxo que entrada</t>
        </is>
      </c>
    </row>
    <row r="4">
      <c r="A4" s="2" t="inlineStr">
        <is>
          <t>Paranaguá (PR)</t>
        </is>
      </c>
      <c r="B4" s="2" t="inlineStr">
        <is>
          <t>Docas de Carga</t>
        </is>
      </c>
      <c r="C4" s="2" t="n">
        <v>12</v>
      </c>
      <c r="D4" s="2" t="n">
        <v>12</v>
      </c>
      <c r="E4" s="2" t="n">
        <v>0.8</v>
      </c>
      <c r="F4" s="2" t="n">
        <v>28</v>
      </c>
      <c r="G4" s="2" t="n">
        <v>0.85</v>
      </c>
      <c r="H4" s="2" t="n">
        <v>7000</v>
      </c>
      <c r="I4" s="2" t="n">
        <v>0.75</v>
      </c>
      <c r="J4" s="2" t="inlineStr"/>
      <c r="K4" s="2" t="inlineStr"/>
      <c r="L4" s="2" t="inlineStr">
        <is>
          <t>Moegas rodoviárias</t>
        </is>
      </c>
    </row>
    <row r="5">
      <c r="A5" s="2" t="inlineStr">
        <is>
          <t>Paranaguá (PR)</t>
        </is>
      </c>
      <c r="B5" s="2" t="inlineStr">
        <is>
          <t>Pátio de Triagem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n">
        <v>800</v>
      </c>
      <c r="K5" s="2" t="inlineStr"/>
      <c r="L5" s="2" t="inlineStr">
        <is>
          <t>Pátio regulador de filas na BR-277</t>
        </is>
      </c>
    </row>
    <row r="6">
      <c r="A6" s="2" t="inlineStr">
        <is>
          <t>Santos (SP)</t>
        </is>
      </c>
      <c r="B6" s="2" t="inlineStr">
        <is>
          <t>Gate Principal</t>
        </is>
      </c>
      <c r="C6" s="2" t="n">
        <v>8</v>
      </c>
      <c r="D6" s="2" t="n">
        <v>40</v>
      </c>
      <c r="E6" s="2" t="n">
        <v>0.9</v>
      </c>
      <c r="F6" s="2" t="n">
        <v>22</v>
      </c>
      <c r="G6" s="2" t="n">
        <v>0.9</v>
      </c>
      <c r="H6" s="2" t="n">
        <v>7500</v>
      </c>
      <c r="I6" s="2" t="n">
        <v>0.8</v>
      </c>
      <c r="J6" s="2" t="inlineStr"/>
      <c r="K6" s="2" t="inlineStr">
        <is>
          <t>Operação 24h</t>
        </is>
      </c>
      <c r="L6" s="2" t="inlineStr">
        <is>
          <t>Contêineres e carga geral</t>
        </is>
      </c>
    </row>
  </sheetData>
  <dataValidations count="1">
    <dataValidation sqref="B2:B200" showDropDown="0" showInputMessage="0" showErrorMessage="0" allowBlank="1" type="list">
      <formula1>"Gate de Entrada,Gate de Saída,Docas de Carga,Docas de Descarga,Balança,Pátio de Triagem"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8" customWidth="1" min="3" max="3"/>
    <col width="24" customWidth="1" min="4" max="4"/>
    <col width="26" customWidth="1" min="5" max="5"/>
    <col width="20" customWidth="1" min="6" max="6"/>
    <col width="22" customWidth="1" min="7" max="7"/>
    <col width="16" customWidth="1" min="8" max="8"/>
    <col width="24" customWidth="1" min="9" max="9"/>
    <col width="20" customWidth="1" min="10" max="10"/>
    <col width="20" customWidth="1" min="11" max="11"/>
    <col width="22" customWidth="1" min="12" max="12"/>
    <col width="26" customWidth="1" min="13" max="13"/>
    <col width="35" customWidth="1" min="14" max="14"/>
  </cols>
  <sheetData>
    <row r="1">
      <c r="A1" s="1" t="inlineStr">
        <is>
          <t>Porto / Terminal</t>
        </is>
      </c>
      <c r="B1" s="1" t="inlineStr">
        <is>
          <t>Concessionária</t>
        </is>
      </c>
      <c r="C1" s="1" t="inlineStr">
        <is>
          <t>Nº Máx Composições/dia (N_trens)</t>
        </is>
      </c>
      <c r="D1" s="1" t="inlineStr">
        <is>
          <t>Vagões por Composição (N_vag)</t>
        </is>
      </c>
      <c r="E1" s="1" t="inlineStr">
        <is>
          <t>Carga Útil por Vagão (TU_vag, t)</t>
        </is>
      </c>
      <c r="F1" s="1" t="inlineStr">
        <is>
          <t>Tipo de Vagão</t>
        </is>
      </c>
      <c r="G1" s="1" t="inlineStr">
        <is>
          <t>Dias Operacionais/ano (D_op)</t>
        </is>
      </c>
      <c r="H1" s="1" t="inlineStr">
        <is>
          <t>Nº Tombadores</t>
        </is>
      </c>
      <c r="I1" s="1" t="inlineStr">
        <is>
          <t>Produtividade Tombador (t/h)</t>
        </is>
      </c>
      <c r="J1" s="1" t="inlineStr">
        <is>
          <t>Eficiência Tombador (η)</t>
        </is>
      </c>
      <c r="K1" s="1" t="inlineStr">
        <is>
          <t>Nº Moegas Ferroviárias</t>
        </is>
      </c>
      <c r="L1" s="1" t="inlineStr">
        <is>
          <t>Produtividade Moega (t/h)</t>
        </is>
      </c>
      <c r="M1" s="1" t="inlineStr">
        <is>
          <t>Capacidade Pátio Interno (vagões)</t>
        </is>
      </c>
      <c r="N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Rumo Logística</t>
        </is>
      </c>
      <c r="C2" s="2" t="n">
        <v>12</v>
      </c>
      <c r="D2" s="2" t="n">
        <v>100</v>
      </c>
      <c r="E2" s="2" t="n">
        <v>75</v>
      </c>
      <c r="F2" s="2" t="inlineStr">
        <is>
          <t>Hopper fechado</t>
        </is>
      </c>
      <c r="G2" s="2" t="n">
        <v>345</v>
      </c>
      <c r="H2" s="2" t="n">
        <v>2</v>
      </c>
      <c r="I2" s="2" t="n">
        <v>2000</v>
      </c>
      <c r="J2" s="2" t="n">
        <v>0.75</v>
      </c>
      <c r="K2" s="2" t="n">
        <v>4</v>
      </c>
      <c r="L2" s="2" t="n">
        <v>800</v>
      </c>
      <c r="M2" s="2" t="n">
        <v>300</v>
      </c>
      <c r="N2" s="2" t="inlineStr">
        <is>
          <t>Corredor de exportação PR; pico fev-mai</t>
        </is>
      </c>
    </row>
    <row r="3">
      <c r="A3" s="2" t="inlineStr">
        <is>
          <t>Itaqui (MA)</t>
        </is>
      </c>
      <c r="B3" s="2" t="inlineStr">
        <is>
          <t>VLI / Carajás</t>
        </is>
      </c>
      <c r="C3" s="2" t="n">
        <v>8</v>
      </c>
      <c r="D3" s="2" t="n">
        <v>110</v>
      </c>
      <c r="E3" s="2" t="n">
        <v>80</v>
      </c>
      <c r="F3" s="2" t="inlineStr">
        <is>
          <t>Hopper aberto</t>
        </is>
      </c>
      <c r="G3" s="2" t="n">
        <v>350</v>
      </c>
      <c r="H3" s="2" t="n">
        <v>1</v>
      </c>
      <c r="I3" s="2" t="n">
        <v>2500</v>
      </c>
      <c r="J3" s="2" t="n">
        <v>0.8</v>
      </c>
      <c r="K3" s="2" t="n">
        <v>2</v>
      </c>
      <c r="L3" s="2" t="n">
        <v>1200</v>
      </c>
      <c r="M3" s="2" t="n">
        <v>200</v>
      </c>
      <c r="N3" s="2" t="inlineStr">
        <is>
          <t>Minério de ferro e grãos</t>
        </is>
      </c>
    </row>
    <row r="4">
      <c r="A4" s="2" t="inlineStr">
        <is>
          <t>Santos (SP)</t>
        </is>
      </c>
      <c r="B4" s="2" t="inlineStr">
        <is>
          <t>MRS / Rumo</t>
        </is>
      </c>
      <c r="C4" s="2" t="n">
        <v>6</v>
      </c>
      <c r="D4" s="2" t="n">
        <v>80</v>
      </c>
      <c r="E4" s="2" t="n">
        <v>70</v>
      </c>
      <c r="F4" s="2" t="inlineStr">
        <is>
          <t>Hopper fechado</t>
        </is>
      </c>
      <c r="G4" s="2" t="n">
        <v>340</v>
      </c>
      <c r="H4" s="2" t="n">
        <v>1</v>
      </c>
      <c r="I4" s="2" t="n">
        <v>1500</v>
      </c>
      <c r="J4" s="2" t="n">
        <v>0.7</v>
      </c>
      <c r="K4" s="2" t="n">
        <v>3</v>
      </c>
      <c r="L4" s="2" t="n">
        <v>600</v>
      </c>
      <c r="M4" s="2" t="n">
        <v>150</v>
      </c>
      <c r="N4" s="2" t="inlineStr">
        <is>
          <t>Açúcar, grãos, contêineres</t>
        </is>
      </c>
    </row>
  </sheetData>
  <dataValidations count="1">
    <dataValidation sqref="F2:F200" showDropDown="0" showInputMessage="0" showErrorMessage="0" allowBlank="1" type="list">
      <formula1>"Hopper fechado,Hopper aberto,Gôndola,Prancha,Tanque,Plataforma,Contêiner (double-stack),Outro"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22" customWidth="1" min="3" max="3"/>
    <col width="20" customWidth="1" min="4" max="4"/>
    <col width="18" customWidth="1" min="5" max="5"/>
    <col width="24" customWidth="1" min="6" max="6"/>
    <col width="26" customWidth="1" min="7" max="7"/>
    <col width="18" customWidth="1" min="8" max="8"/>
    <col width="20" customWidth="1" min="9" max="9"/>
    <col width="24" customWidth="1" min="10" max="10"/>
    <col width="24" customWidth="1" min="11" max="11"/>
    <col width="24" customWidth="1" min="12" max="12"/>
    <col width="20" customWidth="1" min="13" max="13"/>
    <col width="20" customWidth="1" min="14" max="14"/>
    <col width="2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5" customWidth="1" min="25" max="25"/>
  </cols>
  <sheetData>
    <row r="1">
      <c r="A1" s="1" t="inlineStr">
        <is>
          <t>Porto / Terminal</t>
        </is>
      </c>
      <c r="B1" s="1" t="inlineStr">
        <is>
          <t>Profundidade do Canal - NR (m)</t>
        </is>
      </c>
      <c r="C1" s="1" t="inlineStr">
        <is>
          <t>Profundidade do Berço (m)</t>
        </is>
      </c>
      <c r="D1" s="1" t="inlineStr">
        <is>
          <t>Amplitude de Maré (m)</t>
        </is>
      </c>
      <c r="E1" s="1" t="inlineStr">
        <is>
          <t>Tipo de Maré</t>
        </is>
      </c>
      <c r="F1" s="1" t="inlineStr">
        <is>
          <t>Janela de Maré Operacional (h)</t>
        </is>
      </c>
      <c r="G1" s="1" t="inlineStr">
        <is>
          <t>Afundamento Dinâmico - squat (m)</t>
        </is>
      </c>
      <c r="H1" s="1" t="inlineStr">
        <is>
          <t>Efeito de Ondas (m)</t>
        </is>
      </c>
      <c r="I1" s="1" t="inlineStr">
        <is>
          <t>Sedimento Residual (m)</t>
        </is>
      </c>
      <c r="J1" s="1" t="inlineStr">
        <is>
          <t>Folga Abaixo Quilha - UKC (m)</t>
        </is>
      </c>
      <c r="K1" s="1" t="inlineStr">
        <is>
          <t>Calado Máximo Operacional (m)</t>
        </is>
      </c>
      <c r="L1" s="1" t="inlineStr">
        <is>
          <t>Comprimento Máximo Navio (m)</t>
        </is>
      </c>
      <c r="M1" s="1" t="inlineStr">
        <is>
          <t>Boca Máxima Navio (m)</t>
        </is>
      </c>
      <c r="N1" s="1" t="inlineStr">
        <is>
          <t>Restrição Noturna? (S/N)</t>
        </is>
      </c>
      <c r="O1" s="1" t="inlineStr">
        <is>
          <t>Praticagem Obrigatória? (S/N)</t>
        </is>
      </c>
      <c r="P1" s="1" t="inlineStr">
        <is>
          <t>Vento Máx STS/Portêiner (m/s)</t>
        </is>
      </c>
      <c r="Q1" s="1" t="inlineStr">
        <is>
          <t>Vento Máx Granel Sólido (m/s)</t>
        </is>
      </c>
      <c r="R1" s="1" t="inlineStr">
        <is>
          <t>Vento Máx Granel Líquido (m/s)</t>
        </is>
      </c>
      <c r="S1" s="1" t="inlineStr">
        <is>
          <t>Vento Máx Carga Geral (m/s)</t>
        </is>
      </c>
      <c r="T1" s="1" t="inlineStr">
        <is>
          <t>Vento Máx Ro-Ro (m/s)</t>
        </is>
      </c>
      <c r="U1" s="1" t="inlineStr">
        <is>
          <t>Hs Máx Granel Líquido (m)</t>
        </is>
      </c>
      <c r="V1" s="1" t="inlineStr">
        <is>
          <t>Hs Máx Ro-Ro (m)</t>
        </is>
      </c>
      <c r="W1" s="1" t="inlineStr">
        <is>
          <t>Visibilidade Mín (m)</t>
        </is>
      </c>
      <c r="X1" s="1" t="inlineStr">
        <is>
          <t>Estação INMET Referência</t>
        </is>
      </c>
      <c r="Y1" s="1" t="inlineStr">
        <is>
          <t>Observações</t>
        </is>
      </c>
    </row>
    <row r="2">
      <c r="A2" s="2" t="inlineStr">
        <is>
          <t>Paranaguá (PR)</t>
        </is>
      </c>
      <c r="B2" s="2" t="n">
        <v>15</v>
      </c>
      <c r="C2" s="2" t="n">
        <v>13.5</v>
      </c>
      <c r="D2" s="2" t="n">
        <v>1.8</v>
      </c>
      <c r="E2" s="2" t="inlineStr">
        <is>
          <t>Semidiurna</t>
        </is>
      </c>
      <c r="F2" s="2" t="n">
        <v>4</v>
      </c>
      <c r="G2" s="2" t="n">
        <v>0.5</v>
      </c>
      <c r="H2" s="2" t="n">
        <v>0.3</v>
      </c>
      <c r="I2" s="2" t="n">
        <v>0.2</v>
      </c>
      <c r="J2" s="2" t="n">
        <v>1</v>
      </c>
      <c r="K2" s="2" t="n">
        <v>13</v>
      </c>
      <c r="L2" s="2" t="n">
        <v>300</v>
      </c>
      <c r="M2" s="2" t="n">
        <v>43</v>
      </c>
      <c r="N2" s="2" t="inlineStr">
        <is>
          <t>S</t>
        </is>
      </c>
      <c r="O2" s="2" t="inlineStr">
        <is>
          <t>S</t>
        </is>
      </c>
      <c r="P2" s="2" t="n">
        <v>14</v>
      </c>
      <c r="Q2" s="2" t="n">
        <v>12</v>
      </c>
      <c r="R2" s="2" t="n">
        <v>15</v>
      </c>
      <c r="S2" s="2" t="n">
        <v>12</v>
      </c>
      <c r="T2" s="2" t="n">
        <v>10</v>
      </c>
      <c r="U2" s="2" t="n">
        <v>0.8</v>
      </c>
      <c r="V2" s="2" t="n">
        <v>0.5</v>
      </c>
      <c r="W2" s="2" t="n">
        <v>500</v>
      </c>
      <c r="X2" s="2" t="inlineStr">
        <is>
          <t>A807 - Paranaguá</t>
        </is>
      </c>
      <c r="Y2" s="2" t="inlineStr">
        <is>
          <t>Restrição noturna para navios &gt; 250m</t>
        </is>
      </c>
    </row>
    <row r="3">
      <c r="A3" s="2" t="inlineStr">
        <is>
          <t>Santos (SP)</t>
        </is>
      </c>
      <c r="B3" s="2" t="n">
        <v>15</v>
      </c>
      <c r="C3" s="2" t="n">
        <v>15.5</v>
      </c>
      <c r="D3" s="2" t="n">
        <v>1.2</v>
      </c>
      <c r="E3" s="2" t="inlineStr">
        <is>
          <t>Semidiurna</t>
        </is>
      </c>
      <c r="F3" s="2" t="n">
        <v>6</v>
      </c>
      <c r="G3" s="2" t="n">
        <v>0.4</v>
      </c>
      <c r="H3" s="2" t="n">
        <v>0.2</v>
      </c>
      <c r="I3" s="2" t="n">
        <v>0.1</v>
      </c>
      <c r="J3" s="2" t="n">
        <v>0.8</v>
      </c>
      <c r="K3" s="2" t="n">
        <v>14.5</v>
      </c>
      <c r="L3" s="2" t="n">
        <v>366</v>
      </c>
      <c r="M3" s="2" t="n">
        <v>51</v>
      </c>
      <c r="N3" s="2" t="inlineStr">
        <is>
          <t>N</t>
        </is>
      </c>
      <c r="O3" s="2" t="inlineStr">
        <is>
          <t>S</t>
        </is>
      </c>
      <c r="P3" s="2" t="n">
        <v>14</v>
      </c>
      <c r="Q3" s="2" t="n">
        <v>12</v>
      </c>
      <c r="R3" s="2" t="n">
        <v>15</v>
      </c>
      <c r="S3" s="2" t="n">
        <v>12</v>
      </c>
      <c r="T3" s="2" t="n">
        <v>10</v>
      </c>
      <c r="U3" s="2" t="n">
        <v>0.8</v>
      </c>
      <c r="V3" s="2" t="n">
        <v>0.5</v>
      </c>
      <c r="W3" s="2" t="n">
        <v>500</v>
      </c>
      <c r="X3" s="2" t="inlineStr">
        <is>
          <t>A701 - Santos</t>
        </is>
      </c>
      <c r="Y3" s="2" t="inlineStr">
        <is>
          <t>Canal dragado continuamente</t>
        </is>
      </c>
    </row>
    <row r="4">
      <c r="A4" s="2" t="inlineStr">
        <is>
          <t>Itaqui (MA)</t>
        </is>
      </c>
      <c r="B4" s="2" t="n">
        <v>23</v>
      </c>
      <c r="C4" s="2" t="n">
        <v>18</v>
      </c>
      <c r="D4" s="2" t="n">
        <v>5.5</v>
      </c>
      <c r="E4" s="2" t="inlineStr">
        <is>
          <t>Semidiurna</t>
        </is>
      </c>
      <c r="F4" s="2" t="n">
        <v>3</v>
      </c>
      <c r="G4" s="2" t="n">
        <v>0.6</v>
      </c>
      <c r="H4" s="2" t="n">
        <v>0.4</v>
      </c>
      <c r="I4" s="2" t="n">
        <v>0.2</v>
      </c>
      <c r="J4" s="2" t="n">
        <v>1</v>
      </c>
      <c r="K4" s="2" t="n">
        <v>20</v>
      </c>
      <c r="L4" s="2" t="n">
        <v>340</v>
      </c>
      <c r="M4" s="2" t="n">
        <v>48</v>
      </c>
      <c r="N4" s="2" t="inlineStr">
        <is>
          <t>N</t>
        </is>
      </c>
      <c r="O4" s="2" t="inlineStr">
        <is>
          <t>S</t>
        </is>
      </c>
      <c r="P4" s="2" t="n">
        <v>14</v>
      </c>
      <c r="Q4" s="2" t="n">
        <v>12</v>
      </c>
      <c r="R4" s="2" t="n">
        <v>15</v>
      </c>
      <c r="S4" s="2" t="n">
        <v>12</v>
      </c>
      <c r="T4" s="2" t="n">
        <v>10</v>
      </c>
      <c r="U4" s="2" t="n">
        <v>0.8</v>
      </c>
      <c r="V4" s="2" t="n">
        <v>0.5</v>
      </c>
      <c r="W4" s="2" t="n">
        <v>500</v>
      </c>
      <c r="X4" s="2" t="inlineStr">
        <is>
          <t>A203 - São Luís</t>
        </is>
      </c>
      <c r="Y4" s="2" t="inlineStr">
        <is>
          <t>Amplitudes de maré muito altas</t>
        </is>
      </c>
    </row>
  </sheetData>
  <dataValidations count="3">
    <dataValidation sqref="E2:E200" showDropDown="0" showInputMessage="0" showErrorMessage="0" allowBlank="1" type="list">
      <formula1>"Semidiurna,Diurna,Mista"</formula1>
    </dataValidation>
    <dataValidation sqref="N2:N200" showDropDown="0" showInputMessage="0" showErrorMessage="0" allowBlank="1" type="list">
      <formula1>"S,N"</formula1>
    </dataValidation>
    <dataValidation sqref="O2:O200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24" customWidth="1" min="3" max="3"/>
    <col width="35" customWidth="1" min="4" max="4"/>
    <col width="22" customWidth="1" min="5" max="5"/>
    <col width="18" customWidth="1" min="6" max="6"/>
    <col width="22" customWidth="1" min="7" max="7"/>
    <col width="16" customWidth="1" min="8" max="8"/>
    <col width="22" customWidth="1" min="9" max="9"/>
    <col width="14" customWidth="1" min="10" max="10"/>
    <col width="26" customWidth="1" min="11" max="11"/>
    <col width="24" customWidth="1" min="12" max="12"/>
    <col width="35" customWidth="1" min="13" max="13"/>
  </cols>
  <sheetData>
    <row r="1">
      <c r="A1" s="1" t="inlineStr">
        <is>
          <t>Porto / Terminal</t>
        </is>
      </c>
      <c r="B1" s="1" t="inlineStr">
        <is>
          <t>Código do Berço / Instalação</t>
        </is>
      </c>
      <c r="C1" s="1" t="inlineStr">
        <is>
          <t>Tipo de Investimento</t>
        </is>
      </c>
      <c r="D1" s="1" t="inlineStr">
        <is>
          <t>Descrição do Projeto</t>
        </is>
      </c>
      <c r="E1" s="1" t="inlineStr">
        <is>
          <t>Horizonte (ano conclusão)</t>
        </is>
      </c>
      <c r="F1" s="1" t="inlineStr">
        <is>
          <t>Status</t>
        </is>
      </c>
      <c r="G1" s="1" t="inlineStr">
        <is>
          <t>Parâmetro Afetado</t>
        </is>
      </c>
      <c r="H1" s="1" t="inlineStr">
        <is>
          <t>Valor Atual</t>
        </is>
      </c>
      <c r="I1" s="1" t="inlineStr">
        <is>
          <t>Valor Pós-Investimento</t>
        </is>
      </c>
      <c r="J1" s="1" t="inlineStr">
        <is>
          <t>Unidade</t>
        </is>
      </c>
      <c r="K1" s="1" t="inlineStr">
        <is>
          <t>Fonte (PDZ/PIT/Plano Mestre)</t>
        </is>
      </c>
      <c r="L1" s="1" t="inlineStr">
        <is>
          <t>Investimento Estimado (R$ mi)</t>
        </is>
      </c>
      <c r="M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PNG0209</t>
        </is>
      </c>
      <c r="C2" s="2" t="inlineStr">
        <is>
          <t>Novo equipamento</t>
        </is>
      </c>
      <c r="D2" s="2" t="inlineStr">
        <is>
          <t>Aquisição de 2º shiploader</t>
        </is>
      </c>
      <c r="E2" s="2" t="n">
        <v>2028</v>
      </c>
      <c r="F2" s="2" t="inlineStr">
        <is>
          <t>Em projeto</t>
        </is>
      </c>
      <c r="G2" s="2" t="inlineStr">
        <is>
          <t>n_i (shiploader)</t>
        </is>
      </c>
      <c r="H2" s="2" t="n">
        <v>1</v>
      </c>
      <c r="I2" s="2" t="n">
        <v>2</v>
      </c>
      <c r="J2" s="2" t="inlineStr">
        <is>
          <t>unidades</t>
        </is>
      </c>
      <c r="K2" s="2" t="inlineStr">
        <is>
          <t>PDZ APPA 2024</t>
        </is>
      </c>
      <c r="L2" s="2" t="n">
        <v>120</v>
      </c>
      <c r="M2" s="2" t="inlineStr">
        <is>
          <t>Duplicar capacidade de embarque</t>
        </is>
      </c>
    </row>
    <row r="3">
      <c r="A3" s="2" t="inlineStr">
        <is>
          <t>Paranaguá (PR)</t>
        </is>
      </c>
      <c r="B3" s="2" t="inlineStr">
        <is>
          <t>PNG - novo berço</t>
        </is>
      </c>
      <c r="C3" s="2" t="inlineStr">
        <is>
          <t>Novo berço</t>
        </is>
      </c>
      <c r="D3" s="2" t="inlineStr">
        <is>
          <t>Construção do berço 215</t>
        </is>
      </c>
      <c r="E3" s="2" t="n">
        <v>2030</v>
      </c>
      <c r="F3" s="2" t="inlineStr">
        <is>
          <t>Em licenciamento</t>
        </is>
      </c>
      <c r="G3" s="2" t="inlineStr">
        <is>
          <t>n_bercos</t>
        </is>
      </c>
      <c r="H3" s="2" t="n">
        <v>12</v>
      </c>
      <c r="I3" s="2" t="n">
        <v>13</v>
      </c>
      <c r="J3" s="2" t="inlineStr">
        <is>
          <t>berços</t>
        </is>
      </c>
      <c r="K3" s="2" t="inlineStr">
        <is>
          <t>Plano Mestre 2023</t>
        </is>
      </c>
      <c r="L3" s="2" t="n">
        <v>450</v>
      </c>
      <c r="M3" s="2" t="inlineStr">
        <is>
          <t>Berço dedicado contêineres</t>
        </is>
      </c>
    </row>
    <row r="4">
      <c r="A4" s="2" t="inlineStr">
        <is>
          <t>Paranaguá (PR)</t>
        </is>
      </c>
      <c r="B4" s="2" t="inlineStr">
        <is>
          <t>Pátio Norte</t>
        </is>
      </c>
      <c r="C4" s="2" t="inlineStr">
        <is>
          <t>Expansão armazenagem</t>
        </is>
      </c>
      <c r="D4" s="2" t="inlineStr">
        <is>
          <t>Ampliação do pátio de contêineres</t>
        </is>
      </c>
      <c r="E4" s="2" t="n">
        <v>2027</v>
      </c>
      <c r="F4" s="2" t="inlineStr">
        <is>
          <t>Em execução</t>
        </is>
      </c>
      <c r="G4" s="2" t="inlineStr">
        <is>
          <t>A_util</t>
        </is>
      </c>
      <c r="H4" s="2" t="n">
        <v>180000</v>
      </c>
      <c r="I4" s="2" t="n">
        <v>250000</v>
      </c>
      <c r="J4" s="2" t="inlineStr">
        <is>
          <t>m²</t>
        </is>
      </c>
      <c r="K4" s="2" t="inlineStr">
        <is>
          <t>PDZ APPA 2024</t>
        </is>
      </c>
      <c r="L4" s="2" t="n">
        <v>85</v>
      </c>
      <c r="M4" s="2" t="inlineStr">
        <is>
          <t>Novo RTG + aumento de camadas</t>
        </is>
      </c>
    </row>
    <row r="5">
      <c r="A5" s="2" t="inlineStr">
        <is>
          <t>Santos (SP)</t>
        </is>
      </c>
      <c r="B5" s="2" t="inlineStr">
        <is>
          <t>Canal de acesso</t>
        </is>
      </c>
      <c r="C5" s="2" t="inlineStr">
        <is>
          <t>Dragagem</t>
        </is>
      </c>
      <c r="D5" s="2" t="inlineStr">
        <is>
          <t>Aprofundamento do canal para 17m</t>
        </is>
      </c>
      <c r="E5" s="2" t="n">
        <v>2029</v>
      </c>
      <c r="F5" s="2" t="inlineStr">
        <is>
          <t>Em projeto</t>
        </is>
      </c>
      <c r="G5" s="2" t="inlineStr">
        <is>
          <t>Prof_NR</t>
        </is>
      </c>
      <c r="H5" s="2" t="n">
        <v>15</v>
      </c>
      <c r="I5" s="2" t="n">
        <v>17</v>
      </c>
      <c r="J5" s="2" t="inlineStr">
        <is>
          <t>m</t>
        </is>
      </c>
      <c r="K5" s="2" t="inlineStr">
        <is>
          <t>Plano Mestre SPA</t>
        </is>
      </c>
      <c r="L5" s="2" t="n">
        <v>800</v>
      </c>
      <c r="M5" s="2" t="inlineStr">
        <is>
          <t>Permitir navios 14.500 TEU</t>
        </is>
      </c>
    </row>
    <row r="6">
      <c r="A6" s="2" t="inlineStr">
        <is>
          <t>Paranaguá (PR)</t>
        </is>
      </c>
      <c r="B6" s="2" t="inlineStr">
        <is>
          <t>Corredor Export.</t>
        </is>
      </c>
      <c r="C6" s="2" t="inlineStr">
        <is>
          <t>Modernização ferrovia</t>
        </is>
      </c>
      <c r="D6" s="2" t="inlineStr">
        <is>
          <t>Novo pátio ferroviário + 2 tombadores</t>
        </is>
      </c>
      <c r="E6" s="2" t="n">
        <v>2028</v>
      </c>
      <c r="F6" s="2" t="inlineStr">
        <is>
          <t>Em projeto</t>
        </is>
      </c>
      <c r="G6" s="2" t="inlineStr">
        <is>
          <t>N_trens</t>
        </is>
      </c>
      <c r="H6" s="2" t="n">
        <v>12</v>
      </c>
      <c r="I6" s="2" t="n">
        <v>18</v>
      </c>
      <c r="J6" s="2" t="inlineStr">
        <is>
          <t>composições/dia</t>
        </is>
      </c>
      <c r="K6" s="2" t="inlineStr">
        <is>
          <t>PEF Rumo 2024</t>
        </is>
      </c>
      <c r="L6" s="2" t="n">
        <v>200</v>
      </c>
      <c r="M6" s="2" t="inlineStr">
        <is>
          <t>Ganho de 50% na capacidade férrea</t>
        </is>
      </c>
    </row>
    <row r="7">
      <c r="A7" s="2" t="inlineStr">
        <is>
          <t>Itaqui (MA)</t>
        </is>
      </c>
      <c r="B7" s="2" t="inlineStr">
        <is>
          <t>ITQ0103</t>
        </is>
      </c>
      <c r="C7" s="2" t="inlineStr">
        <is>
          <t>Ganho de eficiência</t>
        </is>
      </c>
      <c r="D7" s="2" t="inlineStr">
        <is>
          <t>Automação parcial do shiploader</t>
        </is>
      </c>
      <c r="E7" s="2" t="n">
        <v>2026</v>
      </c>
      <c r="F7" s="2" t="inlineStr">
        <is>
          <t>Em execução</t>
        </is>
      </c>
      <c r="G7" s="2" t="inlineStr">
        <is>
          <t>η_op</t>
        </is>
      </c>
      <c r="H7" s="2" t="n">
        <v>0.75</v>
      </c>
      <c r="I7" s="2" t="n">
        <v>0.85</v>
      </c>
      <c r="J7" s="2" t="inlineStr">
        <is>
          <t>adimensional</t>
        </is>
      </c>
      <c r="K7" s="2" t="inlineStr">
        <is>
          <t>Terminal TEGRAM</t>
        </is>
      </c>
      <c r="L7" s="2" t="n">
        <v>15</v>
      </c>
      <c r="M7" s="2" t="inlineStr">
        <is>
          <t>Redução de tempo de setup</t>
        </is>
      </c>
    </row>
  </sheetData>
  <dataValidations count="4">
    <dataValidation sqref="C2:C200" showDropDown="0" showInputMessage="0" showErrorMessage="0" allowBlank="1" type="list">
      <formula1>"Novo berço,Novo equipamento,Modernização equipamento,Expansão armazenagem,Dragagem,Modernização ferrovia,Novo gate/doca,Ganho de eficiência,Outro"</formula1>
    </dataValidation>
    <dataValidation sqref="F2:F200" showDropDown="0" showInputMessage="0" showErrorMessage="0" allowBlank="1" type="list">
      <formula1>"Em projeto,Em licenciamento,Em licitação,Em execução,Concluído,Cancelado"</formula1>
    </dataValidation>
    <dataValidation sqref="G2:G200" showDropDown="0" showInputMessage="0" showErrorMessage="0" allowBlank="1" type="list">
      <formula1>"n_i (equipamento),n_bercos,P_i (produtividade),η_op,f_d,A_util,Prof_NR,N_trens,N_lane,H_ef,Outro"</formula1>
    </dataValidation>
    <dataValidation sqref="K2:K200" showDropDown="0" showInputMessage="0" showErrorMessage="0" allowBlank="1" type="list">
      <formula1>"PDZ,PIT,Plano Mestre,PEF/ANTT,Terminal,ANTAQ,Outro"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3" t="inlineStr">
        <is>
          <t>QUADRO 2 — Produtividade de Referência (P_i) — Eq. 1a'</t>
        </is>
      </c>
    </row>
    <row r="2">
      <c r="A2" s="1" t="inlineStr">
        <is>
          <t>Tipo de Carga</t>
        </is>
      </c>
      <c r="B2" s="1" t="inlineStr">
        <is>
          <t>Equipamento</t>
        </is>
      </c>
      <c r="C2" s="1" t="inlineStr">
        <is>
          <t>P_i Mín</t>
        </is>
      </c>
      <c r="D2" s="1" t="inlineStr">
        <is>
          <t>P_i Máx</t>
        </is>
      </c>
      <c r="E2" s="1" t="inlineStr">
        <is>
          <t>Unidade</t>
        </is>
      </c>
    </row>
    <row r="3">
      <c r="A3" s="4" t="inlineStr">
        <is>
          <t>Granel sólido vegetal</t>
        </is>
      </c>
      <c r="B3" s="4" t="inlineStr">
        <is>
          <t>Shiploader / Esteira</t>
        </is>
      </c>
      <c r="C3" s="4" t="n">
        <v>800</v>
      </c>
      <c r="D3" s="4" t="n">
        <v>2000</v>
      </c>
      <c r="E3" s="4" t="inlineStr">
        <is>
          <t>t/h</t>
        </is>
      </c>
    </row>
    <row r="4">
      <c r="A4" s="4" t="inlineStr">
        <is>
          <t>Granel sólido mineral</t>
        </is>
      </c>
      <c r="B4" s="4" t="inlineStr">
        <is>
          <t>Shiploader / Esteira</t>
        </is>
      </c>
      <c r="C4" s="4" t="n">
        <v>1000</v>
      </c>
      <c r="D4" s="4" t="n">
        <v>3000</v>
      </c>
      <c r="E4" s="4" t="inlineStr">
        <is>
          <t>t/h</t>
        </is>
      </c>
    </row>
    <row r="5">
      <c r="A5" s="4" t="inlineStr">
        <is>
          <t>Granel sólido</t>
        </is>
      </c>
      <c r="B5" s="4" t="inlineStr">
        <is>
          <t>Grab / Moega</t>
        </is>
      </c>
      <c r="C5" s="4" t="n">
        <v>200</v>
      </c>
      <c r="D5" s="4" t="n">
        <v>500</v>
      </c>
      <c r="E5" s="4" t="inlineStr">
        <is>
          <t>t/h</t>
        </is>
      </c>
    </row>
    <row r="6">
      <c r="A6" s="4" t="inlineStr">
        <is>
          <t>Granel líquido</t>
        </is>
      </c>
      <c r="B6" s="4" t="inlineStr">
        <is>
          <t>Bomba / Dutos</t>
        </is>
      </c>
      <c r="C6" s="4" t="n">
        <v>300</v>
      </c>
      <c r="D6" s="4" t="n">
        <v>1000</v>
      </c>
      <c r="E6" s="4" t="inlineStr">
        <is>
          <t>t/h</t>
        </is>
      </c>
    </row>
    <row r="7">
      <c r="A7" s="4" t="inlineStr">
        <is>
          <t>Carga geral</t>
        </is>
      </c>
      <c r="B7" s="4" t="inlineStr">
        <is>
          <t>Guindaste de bordo</t>
        </is>
      </c>
      <c r="C7" s="4" t="n">
        <v>30</v>
      </c>
      <c r="D7" s="4" t="n">
        <v>80</v>
      </c>
      <c r="E7" s="4" t="inlineStr">
        <is>
          <t>t/h</t>
        </is>
      </c>
    </row>
    <row r="8">
      <c r="A8" s="4" t="inlineStr">
        <is>
          <t>Carga geral</t>
        </is>
      </c>
      <c r="B8" s="4" t="inlineStr">
        <is>
          <t>Guindaste de terra</t>
        </is>
      </c>
      <c r="C8" s="4" t="n">
        <v>60</v>
      </c>
      <c r="D8" s="4" t="n">
        <v>150</v>
      </c>
      <c r="E8" s="4" t="inlineStr">
        <is>
          <t>t/h</t>
        </is>
      </c>
    </row>
    <row r="9">
      <c r="A9" s="4" t="inlineStr">
        <is>
          <t>Contêiner</t>
        </is>
      </c>
      <c r="B9" s="4" t="inlineStr">
        <is>
          <t>Portêiner STS</t>
        </is>
      </c>
      <c r="C9" s="4" t="n">
        <v>20</v>
      </c>
      <c r="D9" s="4" t="n">
        <v>35</v>
      </c>
      <c r="E9" s="4" t="inlineStr">
        <is>
          <t>mov/h</t>
        </is>
      </c>
    </row>
    <row r="10">
      <c r="A10" s="4" t="inlineStr">
        <is>
          <t>Contêiner</t>
        </is>
      </c>
      <c r="B10" s="4" t="inlineStr">
        <is>
          <t>MHC (móvel)</t>
        </is>
      </c>
      <c r="C10" s="4" t="n">
        <v>12</v>
      </c>
      <c r="D10" s="4" t="n">
        <v>20</v>
      </c>
      <c r="E10" s="4" t="inlineStr">
        <is>
          <t>mov/h</t>
        </is>
      </c>
    </row>
    <row r="13">
      <c r="A13" s="3" t="inlineStr">
        <is>
          <t>QUADRO 19 — Fatores de Perda Operacional</t>
        </is>
      </c>
    </row>
    <row r="14">
      <c r="A14" s="1" t="inlineStr">
        <is>
          <t>Fator</t>
        </is>
      </c>
      <c r="B14" s="1" t="inlineStr">
        <is>
          <t>Símbolo</t>
        </is>
      </c>
      <c r="C14" s="1" t="inlineStr">
        <is>
          <t>Faixa</t>
        </is>
      </c>
      <c r="D14" s="1" t="inlineStr">
        <is>
          <t>Default</t>
        </is>
      </c>
      <c r="E14" s="1" t="inlineStr">
        <is>
          <t>Posição Eq. 1a'</t>
        </is>
      </c>
      <c r="F14" s="1" t="inlineStr">
        <is>
          <t>Como calcular</t>
        </is>
      </c>
    </row>
    <row r="15">
      <c r="A15" s="4" t="inlineStr">
        <is>
          <t>Descontinuidade</t>
        </is>
      </c>
      <c r="B15" s="4" t="inlineStr">
        <is>
          <t>f_d</t>
        </is>
      </c>
      <c r="C15" s="4" t="inlineStr">
        <is>
          <t>0,05–0,15</t>
        </is>
      </c>
      <c r="D15" s="4" t="inlineStr">
        <is>
          <t>0,10</t>
        </is>
      </c>
      <c r="E15" s="4" t="inlineStr">
        <is>
          <t>P_i × (1 − f_d)</t>
        </is>
      </c>
      <c r="F15" s="4" t="inlineStr">
        <is>
          <t>T_setup / Ta; ou padrão 0,10</t>
        </is>
      </c>
    </row>
    <row r="16">
      <c r="A16" s="4" t="inlineStr">
        <is>
          <t>Eficiência operacional</t>
        </is>
      </c>
      <c r="B16" s="4" t="inlineStr">
        <is>
          <t>η_op</t>
        </is>
      </c>
      <c r="C16" s="4" t="inlineStr">
        <is>
          <t>0,55–0,80</t>
        </is>
      </c>
      <c r="D16" s="4" t="inlineStr">
        <is>
          <t>por carga</t>
        </is>
      </c>
      <c r="E16" s="4" t="inlineStr">
        <is>
          <t>P_i × η_op</t>
        </is>
      </c>
      <c r="F16" s="4" t="inlineStr">
        <is>
          <t>Tempo produtivo / T_op total</t>
        </is>
      </c>
    </row>
    <row r="17">
      <c r="A17" s="4" t="inlineStr">
        <is>
          <t>Segurança</t>
        </is>
      </c>
      <c r="B17" s="4" t="inlineStr">
        <is>
          <t>f_seg</t>
        </is>
      </c>
      <c r="C17" s="4" t="inlineStr">
        <is>
          <t>0,85–0,95</t>
        </is>
      </c>
      <c r="D17" s="4" t="inlineStr">
        <is>
          <t>0,90</t>
        </is>
      </c>
      <c r="E17" s="4" t="inlineStr">
        <is>
          <t>C_cais × f_seg</t>
        </is>
      </c>
      <c r="F17" s="4" t="inlineStr">
        <is>
          <t>CV &lt; 5% e série ≥10a → 0,95; CV &gt; 15% ou série &lt; 3a → 0,85</t>
        </is>
      </c>
    </row>
    <row r="20">
      <c r="A20" s="3" t="inlineStr">
        <is>
          <t>η_op — Faixas por Tipo de Carga (Quadro 10)</t>
        </is>
      </c>
    </row>
    <row r="21">
      <c r="A21" s="1" t="inlineStr">
        <is>
          <t>Tipo de Carga</t>
        </is>
      </c>
      <c r="B21" s="1" t="inlineStr">
        <is>
          <t>η_op Mín</t>
        </is>
      </c>
      <c r="C21" s="1" t="inlineStr">
        <is>
          <t>η_op Máx</t>
        </is>
      </c>
    </row>
    <row r="22">
      <c r="A22" s="4" t="inlineStr">
        <is>
          <t>Granel sólido</t>
        </is>
      </c>
      <c r="B22" s="4" t="n">
        <v>0.65</v>
      </c>
      <c r="C22" s="4" t="n">
        <v>0.8</v>
      </c>
    </row>
    <row r="23">
      <c r="A23" s="4" t="inlineStr">
        <is>
          <t>Granel líquido</t>
        </is>
      </c>
      <c r="B23" s="4" t="n">
        <v>0.65</v>
      </c>
      <c r="C23" s="4" t="n">
        <v>0.8</v>
      </c>
    </row>
    <row r="24">
      <c r="A24" s="4" t="inlineStr">
        <is>
          <t>Carga geral</t>
        </is>
      </c>
      <c r="B24" s="4" t="n">
        <v>0.55</v>
      </c>
      <c r="C24" s="4" t="n">
        <v>0.7</v>
      </c>
    </row>
    <row r="25">
      <c r="A25" s="4" t="inlineStr">
        <is>
          <t>Contêiner</t>
        </is>
      </c>
      <c r="B25" s="4" t="n">
        <v>0.6</v>
      </c>
      <c r="C25" s="4" t="n">
        <v>0.75</v>
      </c>
    </row>
    <row r="26">
      <c r="A26" s="4" t="inlineStr">
        <is>
          <t>Ro-Ro</t>
        </is>
      </c>
      <c r="B26" s="4" t="n">
        <v>0.55</v>
      </c>
      <c r="C26" s="4" t="n">
        <v>0.7</v>
      </c>
    </row>
    <row r="29">
      <c r="A29" s="3" t="inlineStr">
        <is>
          <t>ARMAZENAGEM — Valores de Referência (Quadros 3, 22)</t>
        </is>
      </c>
    </row>
    <row r="30">
      <c r="A30" s="1" t="inlineStr">
        <is>
          <t>Tipo</t>
        </is>
      </c>
      <c r="B30" s="1" t="inlineStr">
        <is>
          <t>ρ típico</t>
        </is>
      </c>
      <c r="C30" s="1" t="inlineStr">
        <is>
          <t>Unidade ρ</t>
        </is>
      </c>
      <c r="D30" s="1" t="inlineStr">
        <is>
          <t>f_s</t>
        </is>
      </c>
      <c r="E30" s="1" t="inlineStr">
        <is>
          <t>η_s</t>
        </is>
      </c>
      <c r="F30" s="1" t="inlineStr">
        <is>
          <t>DT primária (dias)</t>
        </is>
      </c>
      <c r="G30" s="1" t="inlineStr">
        <is>
          <t>DT retroárea (dias)</t>
        </is>
      </c>
    </row>
    <row r="31">
      <c r="A31" s="4" t="inlineStr">
        <is>
          <t>Granel sólido (silo)</t>
        </is>
      </c>
      <c r="B31" s="4" t="inlineStr">
        <is>
          <t>0,70–0,80</t>
        </is>
      </c>
      <c r="C31" s="4" t="inlineStr">
        <is>
          <t>t/m³</t>
        </is>
      </c>
      <c r="D31" s="4" t="inlineStr">
        <is>
          <t>1,0</t>
        </is>
      </c>
      <c r="E31" s="4" t="inlineStr">
        <is>
          <t>0,85–0,95</t>
        </is>
      </c>
      <c r="F31" s="4" t="inlineStr">
        <is>
          <t>5–15</t>
        </is>
      </c>
      <c r="G31" s="4" t="inlineStr">
        <is>
          <t>20–40</t>
        </is>
      </c>
    </row>
    <row r="32">
      <c r="A32" s="4" t="inlineStr">
        <is>
          <t>Granel sólido (armazém)</t>
        </is>
      </c>
      <c r="B32" s="4" t="inlineStr">
        <is>
          <t>1,5–2,5</t>
        </is>
      </c>
      <c r="C32" s="4" t="inlineStr">
        <is>
          <t>t/m²</t>
        </is>
      </c>
      <c r="D32" s="4" t="inlineStr">
        <is>
          <t>1,0–1,2</t>
        </is>
      </c>
      <c r="E32" s="4" t="inlineStr">
        <is>
          <t>0,80–0,90</t>
        </is>
      </c>
      <c r="F32" s="4" t="inlineStr">
        <is>
          <t>5–15</t>
        </is>
      </c>
      <c r="G32" s="4" t="inlineStr">
        <is>
          <t>20–40</t>
        </is>
      </c>
    </row>
    <row r="33">
      <c r="A33" s="4" t="inlineStr">
        <is>
          <t>Granel mineral (pátio)</t>
        </is>
      </c>
      <c r="B33" s="4" t="inlineStr">
        <is>
          <t>3,0–5,0</t>
        </is>
      </c>
      <c r="C33" s="4" t="inlineStr">
        <is>
          <t>t/m²</t>
        </is>
      </c>
      <c r="D33" s="4" t="inlineStr">
        <is>
          <t>1,0–1,5</t>
        </is>
      </c>
      <c r="E33" s="4" t="inlineStr">
        <is>
          <t>0,75–0,90</t>
        </is>
      </c>
      <c r="F33" s="4" t="inlineStr">
        <is>
          <t>5–15</t>
        </is>
      </c>
      <c r="G33" s="4" t="inlineStr">
        <is>
          <t>20–40</t>
        </is>
      </c>
    </row>
    <row r="34">
      <c r="A34" s="4" t="inlineStr">
        <is>
          <t>Granel líquido (tanque)</t>
        </is>
      </c>
      <c r="B34" s="4" t="inlineStr">
        <is>
          <t>0,73–0,85</t>
        </is>
      </c>
      <c r="C34" s="4" t="inlineStr">
        <is>
          <t>t/m³</t>
        </is>
      </c>
      <c r="D34" s="4" t="inlineStr">
        <is>
          <t>1,0</t>
        </is>
      </c>
      <c r="E34" s="4" t="inlineStr">
        <is>
          <t>0,90–0,98</t>
        </is>
      </c>
      <c r="F34" s="4" t="inlineStr">
        <is>
          <t>10–20</t>
        </is>
      </c>
      <c r="G34" s="4" t="inlineStr">
        <is>
          <t>25–45</t>
        </is>
      </c>
    </row>
    <row r="35">
      <c r="A35" s="4" t="inlineStr">
        <is>
          <t>Carga geral (armazém)</t>
        </is>
      </c>
      <c r="B35" s="4" t="inlineStr">
        <is>
          <t>1,5–2,0</t>
        </is>
      </c>
      <c r="C35" s="4" t="inlineStr">
        <is>
          <t>t/m²</t>
        </is>
      </c>
      <c r="D35" s="4" t="inlineStr">
        <is>
          <t>1,0–2,0</t>
        </is>
      </c>
      <c r="E35" s="4" t="inlineStr">
        <is>
          <t>0,65–0,80</t>
        </is>
      </c>
      <c r="F35" s="4" t="inlineStr">
        <is>
          <t>10–25</t>
        </is>
      </c>
      <c r="G35" s="4" t="inlineStr">
        <is>
          <t>30–60</t>
        </is>
      </c>
    </row>
    <row r="36">
      <c r="A36" s="4" t="inlineStr">
        <is>
          <t>Contêiner (pátio)</t>
        </is>
      </c>
      <c r="B36" s="4" t="inlineStr">
        <is>
          <t>1,2–1,8</t>
        </is>
      </c>
      <c r="C36" s="4" t="inlineStr">
        <is>
          <t>TEU/m²</t>
        </is>
      </c>
      <c r="D36" s="4" t="inlineStr">
        <is>
          <t>2–5 camadas</t>
        </is>
      </c>
      <c r="E36" s="4" t="inlineStr">
        <is>
          <t>0,65–0,70</t>
        </is>
      </c>
      <c r="F36" s="4" t="inlineStr">
        <is>
          <t>5–12</t>
        </is>
      </c>
      <c r="G36" s="4" t="inlineStr">
        <is>
          <t>15–30</t>
        </is>
      </c>
    </row>
    <row r="37">
      <c r="A37" s="4" t="inlineStr">
        <is>
          <t>Ro-Ro (pátio)</t>
        </is>
      </c>
      <c r="B37" s="4" t="inlineStr">
        <is>
          <t>16–22</t>
        </is>
      </c>
      <c r="C37" s="4" t="inlineStr">
        <is>
          <t>m²/veíc</t>
        </is>
      </c>
      <c r="D37" s="4" t="inlineStr">
        <is>
          <t>1,0</t>
        </is>
      </c>
      <c r="E37" s="4" t="inlineStr">
        <is>
          <t>0,55–0,70</t>
        </is>
      </c>
      <c r="F37" s="4" t="inlineStr">
        <is>
          <t>3–10</t>
        </is>
      </c>
      <c r="G37" s="4" t="inlineStr">
        <is>
          <t>10–20</t>
        </is>
      </c>
    </row>
    <row r="40">
      <c r="A40" s="3" t="inlineStr">
        <is>
          <t>HINTERLÂNDIA — Valores de Referência (Quadros 4, 23)</t>
        </is>
      </c>
    </row>
    <row r="41">
      <c r="A41" s="1" t="inlineStr">
        <is>
          <t>Componente</t>
        </is>
      </c>
      <c r="B41" s="1" t="inlineStr">
        <is>
          <t>Parâmetro</t>
        </is>
      </c>
      <c r="C41" s="1" t="inlineStr">
        <is>
          <t>Faixa Típica</t>
        </is>
      </c>
      <c r="D41" s="1" t="inlineStr">
        <is>
          <t>Unidade</t>
        </is>
      </c>
    </row>
    <row r="42">
      <c r="A42" s="4" t="inlineStr">
        <is>
          <t>Gate (granéis)</t>
        </is>
      </c>
      <c r="B42" s="4" t="inlineStr">
        <is>
          <t>Produtividade</t>
        </is>
      </c>
      <c r="C42" s="4" t="inlineStr">
        <is>
          <t>40–80</t>
        </is>
      </c>
      <c r="D42" s="4" t="inlineStr">
        <is>
          <t>veíc/h por faixa</t>
        </is>
      </c>
    </row>
    <row r="43">
      <c r="A43" s="4" t="inlineStr">
        <is>
          <t>Gate (contêiner)</t>
        </is>
      </c>
      <c r="B43" s="4" t="inlineStr">
        <is>
          <t>Produtividade</t>
        </is>
      </c>
      <c r="C43" s="4" t="inlineStr">
        <is>
          <t>25–50</t>
        </is>
      </c>
      <c r="D43" s="4" t="inlineStr">
        <is>
          <t>veíc/h por faixa</t>
        </is>
      </c>
    </row>
    <row r="44">
      <c r="A44" s="4" t="inlineStr">
        <is>
          <t>Doca</t>
        </is>
      </c>
      <c r="B44" s="4" t="inlineStr">
        <is>
          <t>Produtividade</t>
        </is>
      </c>
      <c r="C44" s="4" t="inlineStr">
        <is>
          <t>8–20</t>
        </is>
      </c>
      <c r="D44" s="4" t="inlineStr">
        <is>
          <t>veíc/h por doca</t>
        </is>
      </c>
    </row>
    <row r="45">
      <c r="A45" s="4" t="inlineStr">
        <is>
          <t>Carga útil</t>
        </is>
      </c>
      <c r="B45" s="4" t="inlineStr">
        <is>
          <t>Caminhão graneleiro</t>
        </is>
      </c>
      <c r="C45" s="4" t="inlineStr">
        <is>
          <t>25–30</t>
        </is>
      </c>
      <c r="D45" s="4" t="inlineStr">
        <is>
          <t>t/veíc</t>
        </is>
      </c>
    </row>
    <row r="46">
      <c r="A46" s="4" t="inlineStr">
        <is>
          <t>Carga útil</t>
        </is>
      </c>
      <c r="B46" s="4" t="inlineStr">
        <is>
          <t>Carreta contêiner</t>
        </is>
      </c>
      <c r="C46" s="4" t="inlineStr">
        <is>
          <t>20–25</t>
        </is>
      </c>
      <c r="D46" s="4" t="inlineStr">
        <is>
          <t>t/veíc</t>
        </is>
      </c>
    </row>
    <row r="47">
      <c r="A47" s="4" t="inlineStr">
        <is>
          <t>Ferrovia</t>
        </is>
      </c>
      <c r="B47" s="4" t="inlineStr">
        <is>
          <t>TU_vagão (hopper)</t>
        </is>
      </c>
      <c r="C47" s="4" t="inlineStr">
        <is>
          <t>70–80</t>
        </is>
      </c>
      <c r="D47" s="4" t="inlineStr">
        <is>
          <t>t/vagão</t>
        </is>
      </c>
    </row>
    <row r="48">
      <c r="A48" s="4" t="inlineStr">
        <is>
          <t>Ferrovia</t>
        </is>
      </c>
      <c r="B48" s="4" t="inlineStr">
        <is>
          <t>TU_vagão (gôndola)</t>
        </is>
      </c>
      <c r="C48" s="4" t="inlineStr">
        <is>
          <t>60–80</t>
        </is>
      </c>
      <c r="D48" s="4" t="inlineStr">
        <is>
          <t>t/vagão</t>
        </is>
      </c>
    </row>
    <row r="49">
      <c r="A49" s="4" t="inlineStr">
        <is>
          <t>Ferrovia</t>
        </is>
      </c>
      <c r="B49" s="4" t="inlineStr">
        <is>
          <t>Tombador</t>
        </is>
      </c>
      <c r="C49" s="4" t="inlineStr">
        <is>
          <t>1.000–2.500</t>
        </is>
      </c>
      <c r="D49" s="4" t="inlineStr">
        <is>
          <t>t/h</t>
        </is>
      </c>
    </row>
    <row r="50">
      <c r="A50" s="4" t="inlineStr">
        <is>
          <t>Ferrovia</t>
        </is>
      </c>
      <c r="B50" s="4" t="inlineStr">
        <is>
          <t>N_trens típico</t>
        </is>
      </c>
      <c r="C50" s="4" t="inlineStr">
        <is>
          <t>4–15</t>
        </is>
      </c>
      <c r="D50" s="4" t="inlineStr">
        <is>
          <t>composições/dia</t>
        </is>
      </c>
    </row>
    <row r="53">
      <c r="A53" s="3" t="inlineStr">
        <is>
          <t>CANAL DE ACESSO — Valores de Referência (Eq. 7)</t>
        </is>
      </c>
    </row>
    <row r="54">
      <c r="A54" s="1" t="inlineStr">
        <is>
          <t>Parâmetro</t>
        </is>
      </c>
      <c r="B54" s="1" t="inlineStr">
        <is>
          <t>Símbolo</t>
        </is>
      </c>
      <c r="C54" s="1" t="inlineStr">
        <is>
          <t>Faixa Típica</t>
        </is>
      </c>
      <c r="D54" s="1" t="inlineStr">
        <is>
          <t>Observação</t>
        </is>
      </c>
    </row>
    <row r="55">
      <c r="A55" s="4" t="inlineStr">
        <is>
          <t>Afundamento dinâmico</t>
        </is>
      </c>
      <c r="B55" s="4" t="inlineStr">
        <is>
          <t>E_squat</t>
        </is>
      </c>
      <c r="C55" s="4" t="inlineStr">
        <is>
          <t>0,1–1,5 m</t>
        </is>
      </c>
      <c r="D55" s="4" t="inlineStr">
        <is>
          <t>Depende da velocidade e calado</t>
        </is>
      </c>
    </row>
    <row r="56">
      <c r="A56" s="4" t="inlineStr">
        <is>
          <t>Efeito de ondas</t>
        </is>
      </c>
      <c r="B56" s="4" t="inlineStr">
        <is>
          <t>E_ondas</t>
        </is>
      </c>
      <c r="C56" s="4" t="inlineStr">
        <is>
          <t>0,5–2,0 m</t>
        </is>
      </c>
      <c r="D56" s="4" t="inlineStr">
        <is>
          <t>Hs × fator de amplificação</t>
        </is>
      </c>
    </row>
    <row r="57">
      <c r="A57" s="4" t="inlineStr">
        <is>
          <t>Sedimento residual</t>
        </is>
      </c>
      <c r="B57" s="4" t="inlineStr">
        <is>
          <t>E_sed</t>
        </is>
      </c>
      <c r="C57" s="4" t="inlineStr">
        <is>
          <t>0,1–0,5 m</t>
        </is>
      </c>
      <c r="D57" s="4" t="inlineStr">
        <is>
          <t>Entre dragagens programadas</t>
        </is>
      </c>
    </row>
    <row r="58">
      <c r="A58" s="4" t="inlineStr">
        <is>
          <t>Folga abaixo quilha (abrigado)</t>
        </is>
      </c>
      <c r="B58" s="4" t="inlineStr">
        <is>
          <t>UKC</t>
        </is>
      </c>
      <c r="C58" s="4" t="inlineStr">
        <is>
          <t>≥ 0,5 m</t>
        </is>
      </c>
      <c r="D58" s="4" t="inlineStr">
        <is>
          <t>PIANC Report 121</t>
        </is>
      </c>
    </row>
    <row r="59">
      <c r="A59" s="4" t="inlineStr">
        <is>
          <t>Folga abaixo quilha (exposto)</t>
        </is>
      </c>
      <c r="B59" s="4" t="inlineStr">
        <is>
          <t>UKC</t>
        </is>
      </c>
      <c r="C59" s="4" t="inlineStr">
        <is>
          <t>≥ 1,0 m</t>
        </is>
      </c>
      <c r="D59" s="4" t="inlineStr">
        <is>
          <t>PIANC Report 121</t>
        </is>
      </c>
    </row>
    <row r="62">
      <c r="A62" s="3" t="inlineStr">
        <is>
          <t>QUADRO 12 — Limiares de Suspensão de Operações por Tipo de Carga</t>
        </is>
      </c>
    </row>
    <row r="63">
      <c r="A63" s="1" t="inlineStr">
        <is>
          <t>Tipo de Operação</t>
        </is>
      </c>
      <c r="B63" s="1" t="inlineStr">
        <is>
          <t>Vento Máx (m/s)</t>
        </is>
      </c>
      <c r="C63" s="1" t="inlineStr">
        <is>
          <t>Hs Máx (m)</t>
        </is>
      </c>
      <c r="D63" s="1" t="inlineStr">
        <is>
          <t>Visibilidade Mín (m)</t>
        </is>
      </c>
      <c r="E63" s="1" t="inlineStr">
        <is>
          <t>Obs</t>
        </is>
      </c>
    </row>
    <row r="64">
      <c r="A64" s="4" t="inlineStr">
        <is>
          <t>Contêiner (STS/Portêiner)</t>
        </is>
      </c>
      <c r="B64" s="4" t="inlineStr">
        <is>
          <t>14 (50 km/h)</t>
        </is>
      </c>
      <c r="C64" s="4" t="inlineStr">
        <is>
          <t>—</t>
        </is>
      </c>
      <c r="D64" s="4" t="inlineStr">
        <is>
          <t>500</t>
        </is>
      </c>
      <c r="E64" s="4" t="inlineStr">
        <is>
          <t>Variar ±2 m/s em análise</t>
        </is>
      </c>
    </row>
    <row r="65">
      <c r="A65" s="4" t="inlineStr">
        <is>
          <t>Granel sólido (shiploader/grab)</t>
        </is>
      </c>
      <c r="B65" s="4" t="inlineStr">
        <is>
          <t>12</t>
        </is>
      </c>
      <c r="C65" s="4" t="inlineStr">
        <is>
          <t>—</t>
        </is>
      </c>
      <c r="D65" s="4" t="inlineStr">
        <is>
          <t>500</t>
        </is>
      </c>
      <c r="E65" s="4" t="inlineStr">
        <is>
          <t>Higroscópicos: também umidade &gt; 85%</t>
        </is>
      </c>
    </row>
    <row r="66">
      <c r="A66" s="4" t="inlineStr">
        <is>
          <t>Granel líquido (mangotes/dutos)</t>
        </is>
      </c>
      <c r="B66" s="4" t="inlineStr">
        <is>
          <t>15</t>
        </is>
      </c>
      <c r="C66" s="4" t="inlineStr">
        <is>
          <t>0,8</t>
        </is>
      </c>
      <c r="D66" s="4" t="inlineStr">
        <is>
          <t>—</t>
        </is>
      </c>
      <c r="E66" s="4" t="inlineStr">
        <is>
          <t>Hs é parâmetro crítico</t>
        </is>
      </c>
    </row>
    <row r="67">
      <c r="A67" s="4" t="inlineStr">
        <is>
          <t>Carga geral (guindaste móvel)</t>
        </is>
      </c>
      <c r="B67" s="4" t="inlineStr">
        <is>
          <t>12</t>
        </is>
      </c>
      <c r="C67" s="4" t="inlineStr">
        <is>
          <t>—</t>
        </is>
      </c>
      <c r="D67" s="4" t="inlineStr">
        <is>
          <t>500</t>
        </is>
      </c>
      <c r="E67" s="4" t="inlineStr">
        <is>
          <t>Nevoeiro crítico em estuários</t>
        </is>
      </c>
    </row>
    <row r="68">
      <c r="A68" s="4" t="inlineStr">
        <is>
          <t>Ro-Ro / Automotivo (rampa)</t>
        </is>
      </c>
      <c r="B68" s="4" t="inlineStr">
        <is>
          <t>10</t>
        </is>
      </c>
      <c r="C68" s="4" t="inlineStr">
        <is>
          <t>0,5</t>
        </is>
      </c>
      <c r="D68" s="4" t="inlineStr">
        <is>
          <t>—</t>
        </is>
      </c>
      <c r="E68" s="4" t="inlineStr">
        <is>
          <t>Limiares mais restritivos; corrente &gt; 2,5 nós</t>
        </is>
      </c>
    </row>
    <row r="71">
      <c r="A71" s="3" t="inlineStr">
        <is>
          <t>SAZONALIDADE — Períodos de Safra Típicos (Brasil)</t>
        </is>
      </c>
    </row>
    <row r="72">
      <c r="A72" s="1" t="inlineStr">
        <is>
          <t>Produto</t>
        </is>
      </c>
      <c r="B72" s="1" t="inlineStr">
        <is>
          <t>Meses de Safra (pico)</t>
        </is>
      </c>
      <c r="C72" s="1" t="inlineStr">
        <is>
          <t>Meses de Entressafra</t>
        </is>
      </c>
    </row>
    <row r="73">
      <c r="A73" s="4" t="inlineStr">
        <is>
          <t>Soja</t>
        </is>
      </c>
      <c r="B73" s="4" t="inlineStr">
        <is>
          <t>Fev–Mai</t>
        </is>
      </c>
      <c r="C73" s="4" t="inlineStr">
        <is>
          <t>Jun–Jan</t>
        </is>
      </c>
    </row>
    <row r="74">
      <c r="A74" s="4" t="inlineStr">
        <is>
          <t>Milho (safrinha)</t>
        </is>
      </c>
      <c r="B74" s="4" t="inlineStr">
        <is>
          <t>Jul–Set</t>
        </is>
      </c>
      <c r="C74" s="4" t="inlineStr">
        <is>
          <t>Out–Jun</t>
        </is>
      </c>
    </row>
    <row r="75">
      <c r="A75" s="4" t="inlineStr">
        <is>
          <t>Açúcar</t>
        </is>
      </c>
      <c r="B75" s="4" t="inlineStr">
        <is>
          <t>Abr–Nov</t>
        </is>
      </c>
      <c r="C75" s="4" t="inlineStr">
        <is>
          <t>Dez–Mar</t>
        </is>
      </c>
    </row>
    <row r="76">
      <c r="A76" s="4" t="inlineStr">
        <is>
          <t>Café</t>
        </is>
      </c>
      <c r="B76" s="4" t="inlineStr">
        <is>
          <t>Mai–Set</t>
        </is>
      </c>
      <c r="C76" s="4" t="inlineStr">
        <is>
          <t>Out–Abr</t>
        </is>
      </c>
    </row>
    <row r="77">
      <c r="A77" s="4" t="inlineStr">
        <is>
          <t>Minério de ferro</t>
        </is>
      </c>
      <c r="B77" s="4" t="inlineStr">
        <is>
          <t>Ano todo (baixa sazonalidade)</t>
        </is>
      </c>
      <c r="C77" s="4" t="inlineStr">
        <is>
          <t>—</t>
        </is>
      </c>
    </row>
    <row r="78">
      <c r="A78" s="4" t="inlineStr">
        <is>
          <t>Contêineres</t>
        </is>
      </c>
      <c r="B78" s="4" t="inlineStr">
        <is>
          <t>Set–Dez (pico importação)</t>
        </is>
      </c>
      <c r="C78" s="4" t="inlineStr">
        <is>
          <t>Jan–Ago</t>
        </is>
      </c>
    </row>
    <row r="81">
      <c r="A81" s="3" t="inlineStr">
        <is>
          <t>EQUAÇÕES PRINCIPAIS</t>
        </is>
      </c>
    </row>
    <row r="82">
      <c r="A82" s="1" t="inlineStr">
        <is>
          <t>Equação</t>
        </is>
      </c>
      <c r="B82" s="1" t="inlineStr">
        <is>
          <t>Fórmula</t>
        </is>
      </c>
      <c r="C82" s="1" t="inlineStr">
        <is>
          <t>Onde usar</t>
        </is>
      </c>
    </row>
    <row r="83">
      <c r="A83" s="4" t="inlineStr">
        <is>
          <t>Eq. 1a'</t>
        </is>
      </c>
      <c r="B83" s="4" t="inlineStr">
        <is>
          <t>C_cais = [Σ(n_i × P_i × (1−f_d) × η_op)] × H_ef × BOR_adm × f_seg</t>
        </is>
      </c>
      <c r="C83" s="4" t="inlineStr">
        <is>
          <t>Capacidade de cais por produtividade</t>
        </is>
      </c>
    </row>
    <row r="84">
      <c r="A84" s="4" t="inlineStr">
        <is>
          <t>Eq. 1b</t>
        </is>
      </c>
      <c r="B84" s="4" t="inlineStr">
        <is>
          <t>C_cais = (b × BOR_adm × H_ef × Lm) / (Ta + a)</t>
        </is>
      </c>
      <c r="C84" s="4" t="inlineStr">
        <is>
          <t>Capacidade de cais por ciclo de atracação</t>
        </is>
      </c>
    </row>
    <row r="85">
      <c r="A85" s="4" t="inlineStr">
        <is>
          <t>Eq. 1c</t>
        </is>
      </c>
      <c r="B85" s="4" t="inlineStr">
        <is>
          <t>H_ef = 8.760 − H_cli − H_mnt − H_nav − H_out</t>
        </is>
      </c>
      <c r="C85" s="4" t="inlineStr">
        <is>
          <t>Horas efetivas (já implementado via ANTAQ)</t>
        </is>
      </c>
    </row>
    <row r="86">
      <c r="A86" s="4" t="inlineStr">
        <is>
          <t>Eq. 4</t>
        </is>
      </c>
      <c r="B86" s="4" t="inlineStr">
        <is>
          <t>CE = A_util × ρ × f_s × η_s</t>
        </is>
      </c>
      <c r="C86" s="4" t="inlineStr">
        <is>
          <t>Capacidade estática de armazenagem</t>
        </is>
      </c>
    </row>
    <row r="87">
      <c r="A87" s="4" t="inlineStr">
        <is>
          <t>Eq. 5</t>
        </is>
      </c>
      <c r="B87" s="4" t="inlineStr">
        <is>
          <t>CD = CE × (DOA / DT) × η_d</t>
        </is>
      </c>
      <c r="C87" s="4" t="inlineStr">
        <is>
          <t>Capacidade dinâmica de armazenagem</t>
        </is>
      </c>
    </row>
    <row r="88">
      <c r="A88" s="4" t="inlineStr">
        <is>
          <t>Eq. 7</t>
        </is>
      </c>
      <c r="B88" s="4" t="inlineStr">
        <is>
          <t>Cmax = Prof_NR − E_squat − E_ondas − E_sed − UKC</t>
        </is>
      </c>
      <c r="C88" s="4" t="inlineStr">
        <is>
          <t>Calado máximo do canal de acesso</t>
        </is>
      </c>
    </row>
    <row r="89">
      <c r="A89" s="4" t="inlineStr">
        <is>
          <t>Eq. 10</t>
        </is>
      </c>
      <c r="B89" s="4" t="inlineStr">
        <is>
          <t>G = N_lane × P_g × η_p × U × L_F × H_eff × σ</t>
        </is>
      </c>
      <c r="C89" s="4" t="inlineStr">
        <is>
          <t>Capacidade do gate rodoviário</t>
        </is>
      </c>
    </row>
    <row r="90">
      <c r="A90" s="4" t="inlineStr">
        <is>
          <t>Eq. 12</t>
        </is>
      </c>
      <c r="B90" s="4" t="inlineStr">
        <is>
          <t>C_fer = N_trens × TU_trem × D_op</t>
        </is>
      </c>
      <c r="C90" s="4" t="inlineStr">
        <is>
          <t>Capacidade ferroviária</t>
        </is>
      </c>
    </row>
    <row r="91">
      <c r="A91" s="4" t="inlineStr">
        <is>
          <t>Eq. 13</t>
        </is>
      </c>
      <c r="B91" s="4" t="inlineStr">
        <is>
          <t>C_sistema = min(C_cais, C_armazenagem, C_hinterlândia)</t>
        </is>
      </c>
      <c r="C91" s="4" t="inlineStr">
        <is>
          <t>Consolidação sistêmica (já implementado)</t>
        </is>
      </c>
    </row>
  </sheetData>
  <mergeCells count="9">
    <mergeCell ref="A40:D40"/>
    <mergeCell ref="A71:C71"/>
    <mergeCell ref="A62:E62"/>
    <mergeCell ref="A13:F13"/>
    <mergeCell ref="A53:D53"/>
    <mergeCell ref="A1:E1"/>
    <mergeCell ref="A29:G29"/>
    <mergeCell ref="A20:C20"/>
    <mergeCell ref="A81:C8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5" t="inlineStr">
        <is>
          <t>COMO PREENCHER ESTE TEMPLATE</t>
        </is>
      </c>
      <c r="B1" s="6" t="inlineStr"/>
    </row>
    <row r="2">
      <c r="A2" t="inlineStr"/>
      <c r="B2" t="inlineStr"/>
    </row>
    <row r="3">
      <c r="A3" s="7" t="inlineStr">
        <is>
          <t>OBJETIVO</t>
        </is>
      </c>
      <c r="B3" t="inlineStr">
        <is>
          <t>Coletar TODOS os dados necessários para análise completa de capacidade portuária conforme roteiro LabPortos/UFMA v12: cais, armazenagem, hinterlândia e canal.</t>
        </is>
      </c>
    </row>
    <row r="4">
      <c r="A4" t="inlineStr"/>
      <c r="B4" t="inlineStr"/>
    </row>
    <row r="5">
      <c r="A5" s="7" t="inlineStr">
        <is>
          <t>ABA 1 — BERÇOS</t>
        </is>
      </c>
      <c r="B5" t="inlineStr">
        <is>
          <t>Uma linha por berço. Inclui campos para berços conjugados e cruzeiros.</t>
        </is>
      </c>
    </row>
    <row r="6">
      <c r="A6" t="inlineStr"/>
      <c r="B6" t="inlineStr">
        <is>
          <t>Berço conjugado: quando um navio grande ocupa mais de 1 berço simultaneamente (F_conj &gt; 1).</t>
        </is>
      </c>
    </row>
    <row r="7">
      <c r="A7" t="inlineStr"/>
      <c r="B7" t="inlineStr">
        <is>
          <t>Cruzeiros: preencher apenas se cruzeiros compartilham berços com operações de carga.</t>
        </is>
      </c>
    </row>
    <row r="8">
      <c r="A8" t="inlineStr"/>
      <c r="B8" t="inlineStr"/>
    </row>
    <row r="9">
      <c r="A9" s="7" t="inlineStr">
        <is>
          <t>ABA 2 — EQUIPAMENTOS DE CAIS</t>
        </is>
      </c>
      <c r="B9" t="inlineStr">
        <is>
          <t>Uma linha por TIPO de equipamento em cada berço.</t>
        </is>
      </c>
    </row>
    <row r="10">
      <c r="A10" t="inlineStr"/>
      <c r="B10" t="inlineStr">
        <is>
          <t>3 portêineres iguais = 1 linha com Quantidade=3. 2 STS + 1 MHC = 2 linhas.</t>
        </is>
      </c>
    </row>
    <row r="11">
      <c r="A11" t="inlineStr"/>
      <c r="B11" t="inlineStr">
        <is>
          <t>A Capacidade Nominal (P_i) é a do FABRICANTE, não a produtividade observada.</t>
        </is>
      </c>
    </row>
    <row r="12">
      <c r="A12" t="inlineStr"/>
      <c r="B12" t="inlineStr"/>
    </row>
    <row r="13">
      <c r="A13" s="7" t="inlineStr">
        <is>
          <t>ABA 3 — FATORES OPERACIONAIS</t>
        </is>
      </c>
      <c r="B13" t="inlineStr">
        <is>
          <t>Uma linha por berço × perfil de carga.</t>
        </is>
      </c>
    </row>
    <row r="14">
      <c r="A14" t="inlineStr"/>
      <c r="B14" t="inlineStr">
        <is>
          <t>Se não souber f_d → usar 0,10. Se não souber η_op → deixar em branco (calcularemos via ANTAQ).</t>
        </is>
      </c>
    </row>
    <row r="15">
      <c r="A15" t="inlineStr"/>
      <c r="B15" t="inlineStr">
        <is>
          <t>H_mnt/H_out Próprio: horas de parada que o terminal conhece mas a ANTAQ pode não registrar.</t>
        </is>
      </c>
    </row>
    <row r="16">
      <c r="A16" t="inlineStr"/>
      <c r="B16" t="inlineStr">
        <is>
          <t>Meses de Safra: indicar período de pico para granéis agrícolas (ex: fev-mai para soja).</t>
        </is>
      </c>
    </row>
    <row r="17">
      <c r="A17" t="inlineStr"/>
      <c r="B17" t="inlineStr">
        <is>
          <t>Carga Higroscópica: soja, açúcar etc. que param com umidade &gt; 85%. Informar limiar.</t>
        </is>
      </c>
    </row>
    <row r="18">
      <c r="A18" t="inlineStr"/>
      <c r="B18" t="inlineStr"/>
    </row>
    <row r="19">
      <c r="A19" s="7" t="inlineStr">
        <is>
          <t>ABA 4 — ARMAZENAGEM</t>
        </is>
      </c>
      <c r="B19" t="inlineStr">
        <is>
          <t>Uma linha por instalação de armazenagem (silo, armazém, pátio, tanque).</t>
        </is>
      </c>
    </row>
    <row r="20">
      <c r="A20" t="inlineStr"/>
      <c r="B20" t="inlineStr">
        <is>
          <t>Necessário para calcular C_armazenagem (Eqs. 4-5) e identificar gargalo sistêmico.</t>
        </is>
      </c>
    </row>
    <row r="21">
      <c r="A21" t="inlineStr"/>
      <c r="B21" t="inlineStr">
        <is>
          <t>Dwell Time (DT): tempo médio que a carga fica armazenada antes de embarcar/sair.</t>
        </is>
      </c>
    </row>
    <row r="22">
      <c r="A22" t="inlineStr"/>
      <c r="B22" t="inlineStr"/>
    </row>
    <row r="23">
      <c r="A23" s="7" t="inlineStr">
        <is>
          <t>ABA 5 — HINTERLÂNDIA RODOVIÁRIA</t>
        </is>
      </c>
      <c r="B23" t="inlineStr">
        <is>
          <t>Uma linha por componente (gate, doca, pátio).</t>
        </is>
      </c>
    </row>
    <row r="24">
      <c r="A24" t="inlineStr"/>
      <c r="B24" t="inlineStr">
        <is>
          <t>Necessário para calcular C_rod (Eq. 10-11).</t>
        </is>
      </c>
    </row>
    <row r="25">
      <c r="A25" t="inlineStr"/>
      <c r="B25" t="inlineStr"/>
    </row>
    <row r="26">
      <c r="A26" s="7" t="inlineStr">
        <is>
          <t>ABA 6 — HINTERLÂNDIA FERROVIÁRIA</t>
        </is>
      </c>
      <c r="B26" t="inlineStr">
        <is>
          <t>Uma linha por terminal/concessionária.</t>
        </is>
      </c>
    </row>
    <row r="27">
      <c r="A27" t="inlineStr"/>
      <c r="B27" t="inlineStr">
        <is>
          <t>Necessário para calcular C_fer (Eq. 12). Preencher apenas se porto tem acesso ferroviário.</t>
        </is>
      </c>
    </row>
    <row r="28">
      <c r="A28" t="inlineStr"/>
      <c r="B28" t="inlineStr"/>
    </row>
    <row r="29">
      <c r="A29" s="7" t="inlineStr">
        <is>
          <t>ABA 7 — CANAL DE ACESSO</t>
        </is>
      </c>
      <c r="B29" t="inlineStr">
        <is>
          <t>Uma linha por porto. Inclui limiares meteorológicos (Quadro 12).</t>
        </is>
      </c>
    </row>
    <row r="30">
      <c r="A30" t="inlineStr"/>
      <c r="B30" t="inlineStr">
        <is>
          <t>Necessário para calcular calado máximo (Eq. 7) e H_cli por tipo de carga.</t>
        </is>
      </c>
    </row>
    <row r="31">
      <c r="A31" t="inlineStr"/>
      <c r="B31" t="inlineStr">
        <is>
          <t>Limiares de vento/onda: usar padrão do Quadro 12 se não souber (ver aba 9).</t>
        </is>
      </c>
    </row>
    <row r="32">
      <c r="A32" t="inlineStr"/>
      <c r="B32" t="inlineStr">
        <is>
          <t>Estação INMET: código da estação mais próxima (consultar mapas.inmet.gov.br).</t>
        </is>
      </c>
    </row>
    <row r="33">
      <c r="A33" t="inlineStr"/>
      <c r="B33" t="inlineStr"/>
    </row>
    <row r="34">
      <c r="A34" s="7" t="inlineStr">
        <is>
          <t>ABA 8 — CENÁRIOS E PIT</t>
        </is>
      </c>
      <c r="B34" t="inlineStr">
        <is>
          <t>Uma linha por projeto de investimento/modernização.</t>
        </is>
      </c>
    </row>
    <row r="35">
      <c r="A35" t="inlineStr"/>
      <c r="B35" t="inlineStr">
        <is>
          <t>Necessário para projetar capacidade nos horizontes 2030/2040/2050 (Passo 10).</t>
        </is>
      </c>
    </row>
    <row r="36">
      <c r="A36" t="inlineStr"/>
      <c r="B36" t="inlineStr">
        <is>
          <t>Informar: qual parâmetro muda, valor atual, valor pós-investimento, horizonte.</t>
        </is>
      </c>
    </row>
    <row r="37">
      <c r="A37" t="inlineStr"/>
      <c r="B37" t="inlineStr">
        <is>
          <t>Fontes: PDZ, Plano Mestre, PEF/ANTT, relatórios do terminal.</t>
        </is>
      </c>
    </row>
    <row r="38">
      <c r="A38" t="inlineStr"/>
      <c r="B38" t="inlineStr"/>
    </row>
    <row r="39">
      <c r="A39" s="7" t="inlineStr">
        <is>
          <t>ABA 9 — REFERÊNCIAS</t>
        </is>
      </c>
      <c r="B39" t="inlineStr">
        <is>
          <t>Valores de referência do roteiro. Consulte para validar seus dados.</t>
        </is>
      </c>
    </row>
    <row r="40">
      <c r="A40" t="inlineStr"/>
      <c r="B40" t="inlineStr"/>
    </row>
    <row r="41">
      <c r="A41" s="5" t="inlineStr">
        <is>
          <t>DADOS QUE JÁ TEMOS (não precisa informar)</t>
        </is>
      </c>
      <c r="B41" s="6" t="inlineStr"/>
    </row>
    <row r="42">
      <c r="A42" t="inlineStr"/>
      <c r="B42" t="inlineStr">
        <is>
          <t>• BOR_adm — Quadro 17 UNCTAD (automático)</t>
        </is>
      </c>
    </row>
    <row r="43">
      <c r="A43" t="inlineStr"/>
      <c r="B43" t="inlineStr">
        <is>
          <t>• H_ef desagregado — paralisações ANTAQ: H_cli, H_mnt, H_nav, H_out (automático)</t>
        </is>
      </c>
    </row>
    <row r="44">
      <c r="A44" t="inlineStr"/>
      <c r="B44" t="inlineStr">
        <is>
          <t>• Lm (lote médio), Ta (tempo atracado) — BigQuery ANTAQ + filtro IQR</t>
        </is>
      </c>
    </row>
    <row r="45">
      <c r="A45" t="inlineStr"/>
      <c r="B45" t="inlineStr">
        <is>
          <t>• Produtividade observada (prancha) — calculada como Lm / T_op</t>
        </is>
      </c>
    </row>
    <row r="46">
      <c r="A46" t="inlineStr"/>
      <c r="B46" t="inlineStr">
        <is>
          <t>• BOR e BUR observados — calculados automaticamente</t>
        </is>
      </c>
    </row>
    <row r="47">
      <c r="A47" t="inlineStr"/>
      <c r="B47" t="inlineStr"/>
    </row>
    <row r="48">
      <c r="A48" s="5" t="inlineStr">
        <is>
          <t>PRIORIDADE DE PREENCHIMENTO</t>
        </is>
      </c>
      <c r="B48" s="6" t="inlineStr"/>
    </row>
    <row r="49">
      <c r="A49" t="inlineStr"/>
      <c r="B49" t="inlineStr">
        <is>
          <t>1. Berços + Equipamentos (abas 1-2): essenciais para Eq. 1a'</t>
        </is>
      </c>
    </row>
    <row r="50">
      <c r="A50" t="inlineStr"/>
      <c r="B50" t="inlineStr">
        <is>
          <t>2. Armazenagem (aba 4): identifica gargalo de armazenamento</t>
        </is>
      </c>
    </row>
    <row r="51">
      <c r="A51" t="inlineStr"/>
      <c r="B51" t="inlineStr">
        <is>
          <t>3. Hinterlândia (abas 5-6): identifica gargalo de acesso terrestre</t>
        </is>
      </c>
    </row>
    <row r="52">
      <c r="A52" t="inlineStr"/>
      <c r="B52" t="inlineStr">
        <is>
          <t>4. Canal (aba 7): valida porte dos navios</t>
        </is>
      </c>
    </row>
    <row r="53">
      <c r="A53" t="inlineStr"/>
      <c r="B53" t="inlineStr">
        <is>
          <t>5. Fatores (aba 3): refinamento — pode ser estimado automaticamente</t>
        </is>
      </c>
    </row>
    <row r="54">
      <c r="A54" t="inlineStr"/>
      <c r="B54" t="inlineStr"/>
    </row>
    <row r="55">
      <c r="A55" s="5" t="inlineStr">
        <is>
          <t>FONTES DE DADOS SUGERIDAS</t>
        </is>
      </c>
      <c r="B55" s="6" t="inlineStr"/>
    </row>
    <row r="56">
      <c r="A56" t="inlineStr"/>
      <c r="B56" t="inlineStr">
        <is>
          <t>• Autoridade Portuária (APPA, CDRJ, SPA, etc.)</t>
        </is>
      </c>
    </row>
    <row r="57">
      <c r="A57" t="inlineStr"/>
      <c r="B57" t="inlineStr">
        <is>
          <t>• Contratos de arrendamento (ANTAQ)</t>
        </is>
      </c>
    </row>
    <row r="58">
      <c r="A58" t="inlineStr"/>
      <c r="B58" t="inlineStr">
        <is>
          <t>• Plano de Desenvolvimento e Zoneamento (PDZ)</t>
        </is>
      </c>
    </row>
    <row r="59">
      <c r="A59" t="inlineStr"/>
      <c r="B59" t="inlineStr">
        <is>
          <t>• Plano Mestre do porto</t>
        </is>
      </c>
    </row>
    <row r="60">
      <c r="A60" t="inlineStr"/>
      <c r="B60" t="inlineStr">
        <is>
          <t>• Programa de Exploração Ferroviária (PEF/ANTT)</t>
        </is>
      </c>
    </row>
    <row r="61">
      <c r="A61" t="inlineStr"/>
      <c r="B61" t="inlineStr">
        <is>
          <t>• Contagens DNIT (tráfego rodoviário)</t>
        </is>
      </c>
    </row>
    <row r="62">
      <c r="A62" t="inlineStr"/>
      <c r="B62" t="inlineStr">
        <is>
          <t>• Cartas Náuticas e Tábuas de Maré (DHN)</t>
        </is>
      </c>
    </row>
    <row r="63">
      <c r="A63" t="inlineStr"/>
      <c r="B63" t="inlineStr">
        <is>
          <t>• Site do terminal / relatórios anuais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2026-04-07T17:51:25Z</dcterms:created>
  <dcterms:modified xmlns:dcterms="http://purl.org/dc/terms/" xmlns:xsi="http://www.w3.org/2001/XMLSchema-instance" xsi:type="dcterms:W3CDTF">2026-04-07T17:51:25Z</dcterms:modified>
</cp:coreProperties>
</file>