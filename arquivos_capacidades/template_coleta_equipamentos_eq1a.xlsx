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Berços" sheetId="1" state="visible" r:id="rId1"/>
    <sheet xmlns:r="http://schemas.openxmlformats.org/officeDocument/2006/relationships" name="2. Equipamentos" sheetId="2" state="visible" r:id="rId2"/>
    <sheet xmlns:r="http://schemas.openxmlformats.org/officeDocument/2006/relationships" name="3. Fatores Operacionais" sheetId="3" state="visible" r:id="rId3"/>
    <sheet xmlns:r="http://schemas.openxmlformats.org/officeDocument/2006/relationships" name="4. Referências" sheetId="4" state="visible" r:id="rId4"/>
    <sheet xmlns:r="http://schemas.openxmlformats.org/officeDocument/2006/relationships" name="5. Instruçõ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3"/>
    </font>
    <font>
      <i val="1"/>
      <sz val="12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5" borderId="0" pivotButton="0" quotePrefix="0" xfId="0"/>
    <xf numFmtId="0" fontId="0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16" customWidth="1" min="4" max="4"/>
    <col width="20" customWidth="1" min="5" max="5"/>
    <col width="22" customWidth="1" min="6" max="6"/>
    <col width="18" customWidth="1" min="7" max="7"/>
    <col width="24" customWidth="1" min="8" max="8"/>
    <col width="20" customWidth="1" min="9" max="9"/>
    <col width="20" customWidth="1" min="10" max="10"/>
    <col width="35" customWidth="1" min="11" max="11"/>
  </cols>
  <sheetData>
    <row r="1">
      <c r="A1" s="1" t="inlineStr">
        <is>
          <t>Porto / Terminal</t>
        </is>
      </c>
      <c r="B1" s="1" t="inlineStr">
        <is>
          <t>Código do Berço</t>
        </is>
      </c>
      <c r="C1" s="1" t="inlineStr">
        <is>
          <t>Nome / Apelido</t>
        </is>
      </c>
      <c r="D1" s="1" t="inlineStr">
        <is>
          <t>Comprimento (m)</t>
        </is>
      </c>
      <c r="E1" s="1" t="inlineStr">
        <is>
          <t>Calado Operacional (m)</t>
        </is>
      </c>
      <c r="F1" s="1" t="inlineStr">
        <is>
          <t>Tipo de Terminal</t>
        </is>
      </c>
      <c r="G1" s="1" t="inlineStr">
        <is>
          <t>Regime Jurídico</t>
        </is>
      </c>
      <c r="H1" s="1" t="inlineStr">
        <is>
          <t>Perfil de Carga Principal</t>
        </is>
      </c>
      <c r="I1" s="1" t="inlineStr">
        <is>
          <t>Perfil Secundário</t>
        </is>
      </c>
      <c r="J1" s="1" t="inlineStr">
        <is>
          <t>Regime Operacional</t>
        </is>
      </c>
      <c r="K1" s="1" t="inlineStr">
        <is>
          <t>Observações</t>
        </is>
      </c>
    </row>
    <row r="2">
      <c r="A2" s="2" t="inlineStr">
        <is>
          <t>Paranaguá (PR)</t>
        </is>
      </c>
      <c r="B2" s="2" t="inlineStr">
        <is>
          <t>PNG0209</t>
        </is>
      </c>
      <c r="C2" s="2" t="inlineStr">
        <is>
          <t>Berço 209 - Corredor de Exportação</t>
        </is>
      </c>
      <c r="D2" s="2" t="n">
        <v>315</v>
      </c>
      <c r="E2" s="2" t="n">
        <v>13.5</v>
      </c>
      <c r="F2" s="2" t="inlineStr">
        <is>
          <t>Especializado</t>
        </is>
      </c>
      <c r="G2" s="2" t="inlineStr">
        <is>
          <t>Arrendado</t>
        </is>
      </c>
      <c r="H2" s="2" t="inlineStr">
        <is>
          <t>Granel Sólido</t>
        </is>
      </c>
      <c r="I2" s="2" t="inlineStr"/>
      <c r="J2" s="2" t="inlineStr">
        <is>
          <t>24/7</t>
        </is>
      </c>
      <c r="K2" s="2" t="inlineStr">
        <is>
          <t>Corredor de exportação de grãos</t>
        </is>
      </c>
    </row>
    <row r="3">
      <c r="A3" s="2" t="inlineStr">
        <is>
          <t>Santos (SP)</t>
        </is>
      </c>
      <c r="B3" s="2" t="inlineStr">
        <is>
          <t>SSZ0812</t>
        </is>
      </c>
      <c r="C3" s="2" t="inlineStr">
        <is>
          <t>BTP Berço 1</t>
        </is>
      </c>
      <c r="D3" s="2" t="n">
        <v>340</v>
      </c>
      <c r="E3" s="2" t="n">
        <v>15.5</v>
      </c>
      <c r="F3" s="2" t="inlineStr">
        <is>
          <t>Especializado</t>
        </is>
      </c>
      <c r="G3" s="2" t="inlineStr">
        <is>
          <t>Arrendado</t>
        </is>
      </c>
      <c r="H3" s="2" t="inlineStr">
        <is>
          <t>Contêiner</t>
        </is>
      </c>
      <c r="I3" s="2" t="inlineStr"/>
      <c r="J3" s="2" t="inlineStr">
        <is>
          <t>24/7</t>
        </is>
      </c>
      <c r="K3" s="2" t="inlineStr">
        <is>
          <t>Terminal BTP - 3 portêineres STS</t>
        </is>
      </c>
    </row>
    <row r="4">
      <c r="A4" s="2" t="inlineStr">
        <is>
          <t>Itaqui (MA)</t>
        </is>
      </c>
      <c r="B4" s="2" t="inlineStr">
        <is>
          <t>ITQ0103</t>
        </is>
      </c>
      <c r="C4" s="2" t="inlineStr">
        <is>
          <t>Berço 103 - TEGRAM</t>
        </is>
      </c>
      <c r="D4" s="2" t="n">
        <v>280</v>
      </c>
      <c r="E4" s="2" t="n">
        <v>18</v>
      </c>
      <c r="F4" s="2" t="inlineStr">
        <is>
          <t>Especializado</t>
        </is>
      </c>
      <c r="G4" s="2" t="inlineStr">
        <is>
          <t>TUP</t>
        </is>
      </c>
      <c r="H4" s="2" t="inlineStr">
        <is>
          <t>Granel Sólido</t>
        </is>
      </c>
      <c r="I4" s="2" t="inlineStr">
        <is>
          <t>Granel Líquido</t>
        </is>
      </c>
      <c r="J4" s="2" t="inlineStr">
        <is>
          <t>24/7</t>
        </is>
      </c>
      <c r="K4" s="2" t="inlineStr">
        <is>
          <t>Terminal de grãos do Maranhão</t>
        </is>
      </c>
    </row>
  </sheetData>
  <dataValidations count="4">
    <dataValidation sqref="F2:F200" showDropDown="0" showInputMessage="0" showErrorMessage="0" allowBlank="1" prompt="Selecione o tipo de terminal" type="list">
      <formula1>"Especializado,Multipropósito,Dedicado Contêiner,Granéis,Carga Geral"</formula1>
    </dataValidation>
    <dataValidation sqref="G2:G200" showDropDown="0" showInputMessage="0" showErrorMessage="0" allowBlank="1" type="list">
      <formula1>"Arrendado,Público,TUP,Uso Privativo"</formula1>
    </dataValidation>
    <dataValidation sqref="H2:H200 I2:I200" showDropDown="0" showInputMessage="0" showErrorMessage="0" allowBlank="1" type="list">
      <formula1>"Granel Sólido,Granel Líquido,Contêiner,Carga Geral,Ro-Ro,Misto"</formula1>
    </dataValidation>
    <dataValidation sqref="J2:J200" showDropDown="0" showInputMessage="0" showErrorMessage="0" allowBlank="1" type="list">
      <formula1>"24/7,Turnos (2x8),Turnos (3x8),Diurno,Sob demanda"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8" customWidth="1" min="3" max="3"/>
    <col width="25" customWidth="1" min="4" max="4"/>
    <col width="16" customWidth="1" min="5" max="5"/>
    <col width="22" customWidth="1" min="6" max="6"/>
    <col width="16" customWidth="1" min="7" max="7"/>
    <col width="16" customWidth="1" min="8" max="8"/>
    <col width="18" customWidth="1" min="9" max="9"/>
    <col width="20" customWidth="1" min="10" max="10"/>
    <col width="20" customWidth="1" min="11" max="11"/>
    <col width="35" customWidth="1" min="12" max="12"/>
  </cols>
  <sheetData>
    <row r="1">
      <c r="A1" s="1" t="inlineStr">
        <is>
          <t>Porto / Terminal</t>
        </is>
      </c>
      <c r="B1" s="1" t="inlineStr">
        <is>
          <t>Código do Berço</t>
        </is>
      </c>
      <c r="C1" s="1" t="inlineStr">
        <is>
          <t>Tipo de Equipamento</t>
        </is>
      </c>
      <c r="D1" s="1" t="inlineStr">
        <is>
          <t>Modelo / Fabricante</t>
        </is>
      </c>
      <c r="E1" s="1" t="inlineStr">
        <is>
          <t>Quantidade (n_i)</t>
        </is>
      </c>
      <c r="F1" s="1" t="inlineStr">
        <is>
          <t>Capacidade Nominal (P_i)</t>
        </is>
      </c>
      <c r="G1" s="1" t="inlineStr">
        <is>
          <t>Unidade de P_i</t>
        </is>
      </c>
      <c r="H1" s="1" t="inlineStr">
        <is>
          <t>Ano de Fabricação</t>
        </is>
      </c>
      <c r="I1" s="1" t="inlineStr">
        <is>
          <t>Estado Operacional</t>
        </is>
      </c>
      <c r="J1" s="1" t="inlineStr">
        <is>
          <t>Alcance / Outreach (m)</t>
        </is>
      </c>
      <c r="K1" s="1" t="inlineStr">
        <is>
          <t>Capacidade de Carga (t)</t>
        </is>
      </c>
      <c r="L1" s="1" t="inlineStr">
        <is>
          <t>Observações</t>
        </is>
      </c>
    </row>
    <row r="2">
      <c r="A2" s="2" t="inlineStr">
        <is>
          <t>Paranaguá (PR)</t>
        </is>
      </c>
      <c r="B2" s="2" t="inlineStr">
        <is>
          <t>PNG0209</t>
        </is>
      </c>
      <c r="C2" s="2" t="inlineStr">
        <is>
          <t>Shiploader</t>
        </is>
      </c>
      <c r="D2" s="2" t="inlineStr">
        <is>
          <t>Bühler / TMSA</t>
        </is>
      </c>
      <c r="E2" s="2" t="n">
        <v>2</v>
      </c>
      <c r="F2" s="2" t="n">
        <v>1500</v>
      </c>
      <c r="G2" s="2" t="inlineStr">
        <is>
          <t>t/h</t>
        </is>
      </c>
      <c r="H2" s="2" t="n">
        <v>2015</v>
      </c>
      <c r="I2" s="2" t="inlineStr">
        <is>
          <t>Operacional</t>
        </is>
      </c>
      <c r="J2" s="2" t="inlineStr"/>
      <c r="K2" s="2" t="inlineStr"/>
      <c r="L2" s="2" t="inlineStr">
        <is>
          <t>Correia transportadora integrada</t>
        </is>
      </c>
    </row>
    <row r="3">
      <c r="A3" s="2" t="inlineStr">
        <is>
          <t>Santos (SP)</t>
        </is>
      </c>
      <c r="B3" s="2" t="inlineStr">
        <is>
          <t>SSZ0812</t>
        </is>
      </c>
      <c r="C3" s="2" t="inlineStr">
        <is>
          <t>Portêiner STS</t>
        </is>
      </c>
      <c r="D3" s="2" t="inlineStr">
        <is>
          <t>ZPMC STS-65</t>
        </is>
      </c>
      <c r="E3" s="2" t="n">
        <v>3</v>
      </c>
      <c r="F3" s="2" t="n">
        <v>30</v>
      </c>
      <c r="G3" s="2" t="inlineStr">
        <is>
          <t>mov/h</t>
        </is>
      </c>
      <c r="H3" s="2" t="n">
        <v>2018</v>
      </c>
      <c r="I3" s="2" t="inlineStr">
        <is>
          <t>Operacional</t>
        </is>
      </c>
      <c r="J3" s="2" t="n">
        <v>65</v>
      </c>
      <c r="K3" s="2" t="n">
        <v>65</v>
      </c>
      <c r="L3" s="2" t="inlineStr">
        <is>
          <t>Super Post-Panamax, twin-lift</t>
        </is>
      </c>
    </row>
    <row r="4">
      <c r="A4" s="2" t="inlineStr">
        <is>
          <t>Santos (SP)</t>
        </is>
      </c>
      <c r="B4" s="2" t="inlineStr">
        <is>
          <t>SSZ0812</t>
        </is>
      </c>
      <c r="C4" s="2" t="inlineStr">
        <is>
          <t>RTG (pátio)</t>
        </is>
      </c>
      <c r="D4" s="2" t="inlineStr">
        <is>
          <t>Kalmar RTG-16</t>
        </is>
      </c>
      <c r="E4" s="2" t="n">
        <v>8</v>
      </c>
      <c r="F4" s="2" t="n">
        <v>25</v>
      </c>
      <c r="G4" s="2" t="inlineStr">
        <is>
          <t>mov/h</t>
        </is>
      </c>
      <c r="H4" s="2" t="n">
        <v>2019</v>
      </c>
      <c r="I4" s="2" t="inlineStr">
        <is>
          <t>Operacional</t>
        </is>
      </c>
      <c r="J4" s="2" t="inlineStr"/>
      <c r="K4" s="2" t="n">
        <v>40</v>
      </c>
      <c r="L4" s="2" t="inlineStr">
        <is>
          <t>Retaguarda do berço 812</t>
        </is>
      </c>
    </row>
    <row r="5">
      <c r="A5" s="2" t="inlineStr">
        <is>
          <t>Itaqui (MA)</t>
        </is>
      </c>
      <c r="B5" s="2" t="inlineStr">
        <is>
          <t>ITQ0103</t>
        </is>
      </c>
      <c r="C5" s="2" t="inlineStr">
        <is>
          <t>Shiploader</t>
        </is>
      </c>
      <c r="D5" s="2" t="inlineStr">
        <is>
          <t>ThyssenKrupp</t>
        </is>
      </c>
      <c r="E5" s="2" t="n">
        <v>1</v>
      </c>
      <c r="F5" s="2" t="n">
        <v>2000</v>
      </c>
      <c r="G5" s="2" t="inlineStr">
        <is>
          <t>t/h</t>
        </is>
      </c>
      <c r="H5" s="2" t="n">
        <v>2012</v>
      </c>
      <c r="I5" s="2" t="inlineStr">
        <is>
          <t>Operacional</t>
        </is>
      </c>
      <c r="J5" s="2" t="inlineStr"/>
      <c r="K5" s="2" t="inlineStr"/>
      <c r="L5" s="2" t="inlineStr">
        <is>
          <t>Grãos e farelo</t>
        </is>
      </c>
    </row>
    <row r="6">
      <c r="A6" s="2" t="inlineStr">
        <is>
          <t>Paranaguá (PR)</t>
        </is>
      </c>
      <c r="B6" s="2" t="inlineStr">
        <is>
          <t>PNG0209</t>
        </is>
      </c>
      <c r="C6" s="2" t="inlineStr">
        <is>
          <t>Grab / Moega</t>
        </is>
      </c>
      <c r="D6" s="2" t="inlineStr">
        <is>
          <t>Liebherr LHM 550</t>
        </is>
      </c>
      <c r="E6" s="2" t="n">
        <v>1</v>
      </c>
      <c r="F6" s="2" t="n">
        <v>350</v>
      </c>
      <c r="G6" s="2" t="inlineStr">
        <is>
          <t>t/h</t>
        </is>
      </c>
      <c r="H6" s="2" t="n">
        <v>2016</v>
      </c>
      <c r="I6" s="2" t="inlineStr">
        <is>
          <t>Operacional</t>
        </is>
      </c>
      <c r="J6" s="2" t="inlineStr"/>
      <c r="K6" s="2" t="n">
        <v>104</v>
      </c>
      <c r="L6" s="2" t="inlineStr">
        <is>
          <t>Granel sólido - descarga</t>
        </is>
      </c>
    </row>
  </sheetData>
  <dataValidations count="3">
    <dataValidation sqref="C2:C200" showDropDown="0" showInputMessage="0" showErrorMessage="0" allowBlank="1" type="list">
      <formula1>"Portêiner STS,MHC (Guindaste Móvel),Shiploader,Grab / Moega,Bomba / Dutos,Guindaste de Bordo,Guindaste de Terra,RTG (pátio),Reach Stacker,Empilhadeira,Esteira Transportadora,Rampa Ro-Ro,Outro"</formula1>
    </dataValidation>
    <dataValidation sqref="G2:G200" showDropDown="0" showInputMessage="0" showErrorMessage="0" allowBlank="1" type="list">
      <formula1>"t/h,mov/h,TEU/h,m³/h,veíc/h"</formula1>
    </dataValidation>
    <dataValidation sqref="I2:I200" showDropDown="0" showInputMessage="0" showErrorMessage="0" allowBlank="1" type="list">
      <formula1>"Operacional,Em manutenção,Desativado,Em instalação"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20" customWidth="1" min="4" max="4"/>
    <col width="25" customWidth="1" min="5" max="5"/>
    <col width="18" customWidth="1" min="6" max="6"/>
    <col width="25" customWidth="1" min="7" max="7"/>
    <col width="18" customWidth="1" min="8" max="8"/>
    <col width="30" customWidth="1" min="9" max="9"/>
    <col width="20" customWidth="1" min="10" max="10"/>
    <col width="16" customWidth="1" min="11" max="11"/>
    <col width="35" customWidth="1" min="12" max="12"/>
  </cols>
  <sheetData>
    <row r="1">
      <c r="A1" s="1" t="inlineStr">
        <is>
          <t>Porto / Terminal</t>
        </is>
      </c>
      <c r="B1" s="1" t="inlineStr">
        <is>
          <t>Código do Berço</t>
        </is>
      </c>
      <c r="C1" s="1" t="inlineStr">
        <is>
          <t>Perfil de Carga</t>
        </is>
      </c>
      <c r="D1" s="1" t="inlineStr">
        <is>
          <t>f_d (descontinuidade)</t>
        </is>
      </c>
      <c r="E1" s="1" t="inlineStr">
        <is>
          <t>Método f_d</t>
        </is>
      </c>
      <c r="F1" s="1" t="inlineStr">
        <is>
          <t>η_op (eficiência)</t>
        </is>
      </c>
      <c r="G1" s="1" t="inlineStr">
        <is>
          <t>Método η_op</t>
        </is>
      </c>
      <c r="H1" s="1" t="inlineStr">
        <is>
          <t>f_seg (segurança)</t>
        </is>
      </c>
      <c r="I1" s="1" t="inlineStr">
        <is>
          <t>Justificativa f_seg</t>
        </is>
      </c>
      <c r="J1" s="1" t="inlineStr">
        <is>
          <t>Série Histórica (anos)</t>
        </is>
      </c>
      <c r="K1" s="1" t="inlineStr">
        <is>
          <t>CV Interanual (%)</t>
        </is>
      </c>
      <c r="L1" s="1" t="inlineStr">
        <is>
          <t>Observações</t>
        </is>
      </c>
    </row>
    <row r="2">
      <c r="A2" s="2" t="inlineStr">
        <is>
          <t>Paranaguá (PR)</t>
        </is>
      </c>
      <c r="B2" s="2" t="inlineStr">
        <is>
          <t>PNG0209</t>
        </is>
      </c>
      <c r="C2" s="2" t="inlineStr">
        <is>
          <t>Granel Sólido</t>
        </is>
      </c>
      <c r="D2" s="2" t="n">
        <v>0.1</v>
      </c>
      <c r="E2" s="2" t="inlineStr">
        <is>
          <t>Padrão (sem registro T_setup)</t>
        </is>
      </c>
      <c r="F2" s="2" t="n">
        <v>0.72</v>
      </c>
      <c r="G2" s="2" t="inlineStr">
        <is>
          <t>Calculado: Lm/T_op ÷ P_nominal</t>
        </is>
      </c>
      <c r="H2" s="2" t="n">
        <v>0.9</v>
      </c>
      <c r="I2" s="2" t="inlineStr">
        <is>
          <t>Padrão (CV &lt; 15%)</t>
        </is>
      </c>
      <c r="J2" s="2" t="n">
        <v>8</v>
      </c>
      <c r="K2" s="2" t="n">
        <v>11.2</v>
      </c>
      <c r="L2" s="2" t="inlineStr"/>
    </row>
    <row r="3">
      <c r="A3" s="2" t="inlineStr">
        <is>
          <t>Santos (SP)</t>
        </is>
      </c>
      <c r="B3" s="2" t="inlineStr">
        <is>
          <t>SSZ0812</t>
        </is>
      </c>
      <c r="C3" s="2" t="inlineStr">
        <is>
          <t>Contêiner</t>
        </is>
      </c>
      <c r="D3" s="2" t="n">
        <v>0.08</v>
      </c>
      <c r="E3" s="2" t="inlineStr">
        <is>
          <t>Estimado pelo terminal</t>
        </is>
      </c>
      <c r="F3" s="2" t="n">
        <v>0.68</v>
      </c>
      <c r="G3" s="2" t="inlineStr">
        <is>
          <t>Calculado: prancha ANTAQ ÷ 30 mov/h</t>
        </is>
      </c>
      <c r="H3" s="2" t="n">
        <v>0.9</v>
      </c>
      <c r="I3" s="2" t="inlineStr">
        <is>
          <t>Padrão</t>
        </is>
      </c>
      <c r="J3" s="2" t="n">
        <v>5</v>
      </c>
      <c r="K3" s="2" t="n">
        <v>8.5</v>
      </c>
      <c r="L3" s="2" t="inlineStr"/>
    </row>
    <row r="4">
      <c r="A4" s="2" t="inlineStr">
        <is>
          <t>Itaqui (MA)</t>
        </is>
      </c>
      <c r="B4" s="2" t="inlineStr">
        <is>
          <t>ITQ0103</t>
        </is>
      </c>
      <c r="C4" s="2" t="inlineStr">
        <is>
          <t>Granel Sólido</t>
        </is>
      </c>
      <c r="D4" s="2" t="n">
        <v>0.1</v>
      </c>
      <c r="E4" s="2" t="inlineStr">
        <is>
          <t>Padrão</t>
        </is>
      </c>
      <c r="F4" s="2" t="n">
        <v>0.75</v>
      </c>
      <c r="G4" s="2" t="inlineStr">
        <is>
          <t>Informado pelo operador</t>
        </is>
      </c>
      <c r="H4" s="2" t="n">
        <v>0.85</v>
      </c>
      <c r="I4" s="2" t="inlineStr">
        <is>
          <t>Série curta (3 anos), CV &gt; 15%</t>
        </is>
      </c>
      <c r="J4" s="2" t="n">
        <v>3</v>
      </c>
      <c r="K4" s="2" t="n">
        <v>18</v>
      </c>
      <c r="L4" s="2" t="inlineStr">
        <is>
          <t>Terminal novo, alta variabilidade</t>
        </is>
      </c>
    </row>
  </sheetData>
  <dataValidations count="2">
    <dataValidation sqref="C2:C200" showDropDown="0" showInputMessage="0" showErrorMessage="0" allowBlank="1" type="list">
      <formula1>"Granel Sólido,Granel Líquido,Contêiner,Carga Geral,Ro-Ro"</formula1>
    </dataValidation>
    <dataValidation sqref="E2:E200" showDropDown="0" showInputMessage="0" showErrorMessage="0" allowBlank="1" type="list">
      <formula1>"Padrão (sem registro T_setup),Calculado: T_setup/Ta,Estimado pelo terminal,Entrevista operador"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3" t="inlineStr">
        <is>
          <t>QUADRO 2 — Produtividade de Referência (P_i)</t>
        </is>
      </c>
    </row>
    <row r="2">
      <c r="A2" s="1" t="inlineStr">
        <is>
          <t>Tipo de Carga</t>
        </is>
      </c>
      <c r="B2" s="1" t="inlineStr">
        <is>
          <t>Equipamento</t>
        </is>
      </c>
      <c r="C2" s="1" t="inlineStr">
        <is>
          <t>P_i Mínimo</t>
        </is>
      </c>
      <c r="D2" s="1" t="inlineStr">
        <is>
          <t>P_i Máximo</t>
        </is>
      </c>
      <c r="E2" s="1" t="inlineStr">
        <is>
          <t>Unidade</t>
        </is>
      </c>
    </row>
    <row r="3">
      <c r="A3" s="4" t="inlineStr">
        <is>
          <t>Granel sólido vegetal</t>
        </is>
      </c>
      <c r="B3" s="4" t="inlineStr">
        <is>
          <t>Shiploader / Esteira</t>
        </is>
      </c>
      <c r="C3" s="4" t="n">
        <v>800</v>
      </c>
      <c r="D3" s="4" t="n">
        <v>2000</v>
      </c>
      <c r="E3" s="4" t="inlineStr">
        <is>
          <t>t/h</t>
        </is>
      </c>
    </row>
    <row r="4">
      <c r="A4" s="4" t="inlineStr">
        <is>
          <t>Granel sólido mineral</t>
        </is>
      </c>
      <c r="B4" s="4" t="inlineStr">
        <is>
          <t>Shiploader / Esteira</t>
        </is>
      </c>
      <c r="C4" s="4" t="n">
        <v>1000</v>
      </c>
      <c r="D4" s="4" t="n">
        <v>3000</v>
      </c>
      <c r="E4" s="4" t="inlineStr">
        <is>
          <t>t/h</t>
        </is>
      </c>
    </row>
    <row r="5">
      <c r="A5" s="4" t="inlineStr">
        <is>
          <t>Granel sólido</t>
        </is>
      </c>
      <c r="B5" s="4" t="inlineStr">
        <is>
          <t>Grab / Moega</t>
        </is>
      </c>
      <c r="C5" s="4" t="n">
        <v>200</v>
      </c>
      <c r="D5" s="4" t="n">
        <v>500</v>
      </c>
      <c r="E5" s="4" t="inlineStr">
        <is>
          <t>t/h</t>
        </is>
      </c>
    </row>
    <row r="6">
      <c r="A6" s="4" t="inlineStr">
        <is>
          <t>Granel líquido</t>
        </is>
      </c>
      <c r="B6" s="4" t="inlineStr">
        <is>
          <t>Bomba / Dutos</t>
        </is>
      </c>
      <c r="C6" s="4" t="n">
        <v>300</v>
      </c>
      <c r="D6" s="4" t="n">
        <v>1000</v>
      </c>
      <c r="E6" s="4" t="inlineStr">
        <is>
          <t>t/h</t>
        </is>
      </c>
    </row>
    <row r="7">
      <c r="A7" s="4" t="inlineStr">
        <is>
          <t>Carga geral</t>
        </is>
      </c>
      <c r="B7" s="4" t="inlineStr">
        <is>
          <t>Guindaste de bordo</t>
        </is>
      </c>
      <c r="C7" s="4" t="n">
        <v>30</v>
      </c>
      <c r="D7" s="4" t="n">
        <v>80</v>
      </c>
      <c r="E7" s="4" t="inlineStr">
        <is>
          <t>t/h</t>
        </is>
      </c>
    </row>
    <row r="8">
      <c r="A8" s="4" t="inlineStr">
        <is>
          <t>Carga geral</t>
        </is>
      </c>
      <c r="B8" s="4" t="inlineStr">
        <is>
          <t>Guindaste de terra</t>
        </is>
      </c>
      <c r="C8" s="4" t="n">
        <v>60</v>
      </c>
      <c r="D8" s="4" t="n">
        <v>150</v>
      </c>
      <c r="E8" s="4" t="inlineStr">
        <is>
          <t>t/h</t>
        </is>
      </c>
    </row>
    <row r="9">
      <c r="A9" s="4" t="inlineStr">
        <is>
          <t>Contêiner</t>
        </is>
      </c>
      <c r="B9" s="4" t="inlineStr">
        <is>
          <t>Portêiner STS</t>
        </is>
      </c>
      <c r="C9" s="4" t="n">
        <v>20</v>
      </c>
      <c r="D9" s="4" t="n">
        <v>35</v>
      </c>
      <c r="E9" s="4" t="inlineStr">
        <is>
          <t>mov/h</t>
        </is>
      </c>
    </row>
    <row r="10">
      <c r="A10" s="4" t="inlineStr">
        <is>
          <t>Contêiner</t>
        </is>
      </c>
      <c r="B10" s="4" t="inlineStr">
        <is>
          <t>MHC (móvel)</t>
        </is>
      </c>
      <c r="C10" s="4" t="n">
        <v>12</v>
      </c>
      <c r="D10" s="4" t="n">
        <v>20</v>
      </c>
      <c r="E10" s="4" t="inlineStr">
        <is>
          <t>mov/h</t>
        </is>
      </c>
    </row>
    <row r="13">
      <c r="A13" s="3" t="inlineStr">
        <is>
          <t>QUADRO 19 — Fatores de Perda Operacional</t>
        </is>
      </c>
    </row>
    <row r="14">
      <c r="A14" s="1" t="inlineStr">
        <is>
          <t>Fator</t>
        </is>
      </c>
      <c r="B14" s="1" t="inlineStr">
        <is>
          <t>Símbolo</t>
        </is>
      </c>
      <c r="C14" s="1" t="inlineStr">
        <is>
          <t>Faixa</t>
        </is>
      </c>
      <c r="D14" s="1" t="inlineStr">
        <is>
          <t>Default</t>
        </is>
      </c>
      <c r="E14" s="1" t="inlineStr">
        <is>
          <t>Posição na Eq. 1a'</t>
        </is>
      </c>
      <c r="F14" s="1" t="inlineStr">
        <is>
          <t>Como calcular</t>
        </is>
      </c>
    </row>
    <row r="15">
      <c r="A15" s="4" t="inlineStr">
        <is>
          <t>Descontinuidade</t>
        </is>
      </c>
      <c r="B15" s="4" t="inlineStr">
        <is>
          <t>f_d</t>
        </is>
      </c>
      <c r="C15" s="4" t="inlineStr">
        <is>
          <t>0,05 – 0,15</t>
        </is>
      </c>
      <c r="D15" s="4" t="inlineStr">
        <is>
          <t>0,10</t>
        </is>
      </c>
      <c r="E15" s="4" t="inlineStr">
        <is>
          <t>P_i × (1 − f_d)</t>
        </is>
      </c>
      <c r="F15" s="4" t="inlineStr">
        <is>
          <t>T_setup / Ta por escala; ou padrão 0,10</t>
        </is>
      </c>
    </row>
    <row r="16">
      <c r="A16" s="4" t="inlineStr">
        <is>
          <t>Eficiência operacional</t>
        </is>
      </c>
      <c r="B16" s="4" t="inlineStr">
        <is>
          <t>η_op</t>
        </is>
      </c>
      <c r="C16" s="4" t="inlineStr">
        <is>
          <t>0,55 – 0,80</t>
        </is>
      </c>
      <c r="D16" s="4" t="inlineStr">
        <is>
          <t>varia por carga</t>
        </is>
      </c>
      <c r="E16" s="4" t="inlineStr">
        <is>
          <t>P_i × η_op</t>
        </is>
      </c>
      <c r="F16" s="4" t="inlineStr">
        <is>
          <t>Tempo produtivo / T_op total; ou prancha ANTAQ ÷ P_nominal</t>
        </is>
      </c>
    </row>
    <row r="17">
      <c r="A17" s="4" t="inlineStr">
        <is>
          <t>Segurança</t>
        </is>
      </c>
      <c r="B17" s="4" t="inlineStr">
        <is>
          <t>f_seg</t>
        </is>
      </c>
      <c r="C17" s="4" t="inlineStr">
        <is>
          <t>0,85 – 0,95</t>
        </is>
      </c>
      <c r="D17" s="4" t="inlineStr">
        <is>
          <t>0,90</t>
        </is>
      </c>
      <c r="E17" s="4" t="inlineStr">
        <is>
          <t>C_cais × f_seg (ao final)</t>
        </is>
      </c>
      <c r="F17" s="4" t="inlineStr">
        <is>
          <t>0,85 se série &lt; 3 anos ou CV &gt; 15%; 0,95 se série ≥ 10 anos e CV &lt; 5%</t>
        </is>
      </c>
    </row>
    <row r="20">
      <c r="A20" s="3" t="inlineStr">
        <is>
          <t>η_op — Faixas por Tipo de Carga (Quadro 10)</t>
        </is>
      </c>
    </row>
    <row r="21">
      <c r="A21" s="1" t="inlineStr">
        <is>
          <t>Tipo de Carga</t>
        </is>
      </c>
      <c r="B21" s="1" t="inlineStr">
        <is>
          <t>η_op Mínimo</t>
        </is>
      </c>
      <c r="C21" s="1" t="inlineStr">
        <is>
          <t>η_op Máximo</t>
        </is>
      </c>
    </row>
    <row r="22">
      <c r="A22" s="4" t="inlineStr">
        <is>
          <t>Granel sólido</t>
        </is>
      </c>
      <c r="B22" s="4" t="n">
        <v>0.65</v>
      </c>
      <c r="C22" s="4" t="n">
        <v>0.8</v>
      </c>
    </row>
    <row r="23">
      <c r="A23" s="4" t="inlineStr">
        <is>
          <t>Granel líquido</t>
        </is>
      </c>
      <c r="B23" s="4" t="n">
        <v>0.65</v>
      </c>
      <c r="C23" s="4" t="n">
        <v>0.8</v>
      </c>
    </row>
    <row r="24">
      <c r="A24" s="4" t="inlineStr">
        <is>
          <t>Carga geral</t>
        </is>
      </c>
      <c r="B24" s="4" t="n">
        <v>0.55</v>
      </c>
      <c r="C24" s="4" t="n">
        <v>0.7</v>
      </c>
    </row>
    <row r="25">
      <c r="A25" s="4" t="inlineStr">
        <is>
          <t>Contêiner</t>
        </is>
      </c>
      <c r="B25" s="4" t="n">
        <v>0.6</v>
      </c>
      <c r="C25" s="4" t="n">
        <v>0.75</v>
      </c>
    </row>
    <row r="26">
      <c r="A26" s="4" t="inlineStr">
        <is>
          <t>Ro-Ro</t>
        </is>
      </c>
      <c r="B26" s="4" t="n">
        <v>0.55</v>
      </c>
      <c r="C26" s="4" t="n">
        <v>0.7</v>
      </c>
    </row>
    <row r="29">
      <c r="A29" s="3" t="inlineStr">
        <is>
          <t>EQUAÇÃO 1a' — Capacidade por Produtividade</t>
        </is>
      </c>
    </row>
    <row r="30">
      <c r="A30" s="5" t="inlineStr">
        <is>
          <t>C_cais = [Σ (n_i × P_i × (1 − f_d) × η_op)] × H_ef × BOR_adm × f_seg</t>
        </is>
      </c>
    </row>
    <row r="32">
      <c r="A32" t="inlineStr">
        <is>
          <t>Onde:</t>
        </is>
      </c>
    </row>
    <row r="33">
      <c r="A33" t="inlineStr">
        <is>
          <t>n_i = quantidade de equipamentos tipo i no berço</t>
        </is>
      </c>
    </row>
    <row r="34">
      <c r="A34" t="inlineStr">
        <is>
          <t>P_i = produtividade nominal do equipamento (t/h ou mov/h)</t>
        </is>
      </c>
    </row>
    <row r="35">
      <c r="A35" t="inlineStr">
        <is>
          <t>f_d = fator de descontinuidade (tempo entre escalas)</t>
        </is>
      </c>
    </row>
    <row r="36">
      <c r="A36" t="inlineStr">
        <is>
          <t>η_op = eficiência operacional (tempo produtivo / T_op)</t>
        </is>
      </c>
    </row>
    <row r="37">
      <c r="A37" t="inlineStr">
        <is>
          <t>H_ef = horas efetivas/ano = 8.760 − H_cli − H_mnt − H_nav − H_out</t>
        </is>
      </c>
    </row>
    <row r="38">
      <c r="A38" t="inlineStr">
        <is>
          <t>BOR_adm = taxa de ocupação admissível (Quadro 17 UNCTAD)</t>
        </is>
      </c>
    </row>
    <row r="39">
      <c r="A39" t="inlineStr">
        <is>
          <t>f_seg = fator de segurança (margem para incertezas)</t>
        </is>
      </c>
    </row>
  </sheetData>
  <mergeCells count="3">
    <mergeCell ref="A13:F13"/>
    <mergeCell ref="A1:D1"/>
    <mergeCell ref="A30:F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5" customWidth="1" min="1" max="1"/>
    <col width="85" customWidth="1" min="2" max="2"/>
  </cols>
  <sheetData>
    <row r="1">
      <c r="A1" s="6" t="inlineStr">
        <is>
          <t>COMO PREENCHER ESTE TEMPLATE</t>
        </is>
      </c>
      <c r="B1" s="7" t="inlineStr"/>
    </row>
    <row r="2">
      <c r="A2" t="inlineStr"/>
      <c r="B2" t="inlineStr"/>
    </row>
    <row r="3">
      <c r="A3" s="8" t="inlineStr">
        <is>
          <t>OBJETIVO</t>
        </is>
      </c>
      <c r="B3" t="inlineStr">
        <is>
          <t>Coletar dados de infraestrutura e equipamentos de terminais portuários para calcular a capacidade pelo método de produtividade (Eq. 1a' do roteiro LabPortos/UFMA).</t>
        </is>
      </c>
    </row>
    <row r="4">
      <c r="A4" t="inlineStr"/>
      <c r="B4" t="inlineStr"/>
    </row>
    <row r="5">
      <c r="A5" s="6" t="inlineStr">
        <is>
          <t>ABA 1 — BERÇOS</t>
        </is>
      </c>
      <c r="B5" s="7" t="inlineStr"/>
    </row>
    <row r="6">
      <c r="A6" t="inlineStr"/>
      <c r="B6" t="inlineStr">
        <is>
          <t>Preencha uma linha por berço operacional. Inclua todos os berços do terminal, mesmo os que operam tipos de carga diferentes.</t>
        </is>
      </c>
    </row>
    <row r="7">
      <c r="A7" t="inlineStr"/>
      <c r="B7" t="inlineStr">
        <is>
          <t>As linhas verdes são exemplos — substitua pelos dados reais.</t>
        </is>
      </c>
    </row>
    <row r="8">
      <c r="A8" t="inlineStr"/>
      <c r="B8" t="inlineStr"/>
    </row>
    <row r="9">
      <c r="A9" s="6" t="inlineStr">
        <is>
          <t>ABA 2 — EQUIPAMENTOS</t>
        </is>
      </c>
      <c r="B9" s="7" t="inlineStr"/>
    </row>
    <row r="10">
      <c r="A10" t="inlineStr"/>
      <c r="B10" t="inlineStr">
        <is>
          <t>Preencha uma linha por tipo de equipamento em cada berço.</t>
        </is>
      </c>
    </row>
    <row r="11">
      <c r="A11" t="inlineStr"/>
      <c r="B11" t="inlineStr">
        <is>
          <t>Um berço com 3 portêineres STS iguais = 1 linha com Quantidade = 3.</t>
        </is>
      </c>
    </row>
    <row r="12">
      <c r="A12" t="inlineStr"/>
      <c r="B12" t="inlineStr">
        <is>
          <t>Um berço com 2 STS + 1 MHC = 2 linhas (uma para cada tipo).</t>
        </is>
      </c>
    </row>
    <row r="13">
      <c r="A13" t="inlineStr"/>
      <c r="B13" t="inlineStr">
        <is>
          <t>A Capacidade Nominal (P_i) é a do fabricante, não a produtividade observada.</t>
        </is>
      </c>
    </row>
    <row r="14">
      <c r="A14" t="inlineStr"/>
      <c r="B14" t="inlineStr">
        <is>
          <t>Inclua também equipamentos de retaguarda (RTG, Reach Stacker) se relevantes.</t>
        </is>
      </c>
    </row>
    <row r="15">
      <c r="A15" t="inlineStr"/>
      <c r="B15" t="inlineStr"/>
    </row>
    <row r="16">
      <c r="A16" s="6" t="inlineStr">
        <is>
          <t>ABA 3 — FATORES OPERACIONAIS</t>
        </is>
      </c>
      <c r="B16" s="7" t="inlineStr"/>
    </row>
    <row r="17">
      <c r="A17" t="inlineStr"/>
      <c r="B17" t="inlineStr">
        <is>
          <t>Preencha uma linha por combinação berço × perfil de carga.</t>
        </is>
      </c>
    </row>
    <row r="18">
      <c r="A18" t="inlineStr"/>
      <c r="B18" t="inlineStr">
        <is>
          <t>Se não souber f_d, use 0,10 (padrão do roteiro).</t>
        </is>
      </c>
    </row>
    <row r="19">
      <c r="A19" t="inlineStr"/>
      <c r="B19" t="inlineStr">
        <is>
          <t>Se não souber η_op, deixe em branco — calcularemos a partir dos dados ANTAQ.</t>
        </is>
      </c>
    </row>
    <row r="20">
      <c r="A20" t="inlineStr"/>
      <c r="B20" t="inlineStr">
        <is>
          <t>f_seg = 0,90 é o padrão. Ajuste conforme a série histórica (ver aba 4).</t>
        </is>
      </c>
    </row>
    <row r="21">
      <c r="A21" t="inlineStr"/>
      <c r="B21" t="inlineStr"/>
    </row>
    <row r="22">
      <c r="A22" s="6" t="inlineStr">
        <is>
          <t>ABA 4 — REFERÊNCIAS</t>
        </is>
      </c>
      <c r="B22" s="7" t="inlineStr"/>
    </row>
    <row r="23">
      <c r="A23" t="inlineStr"/>
      <c r="B23" t="inlineStr">
        <is>
          <t>Consulte esta aba para validar os valores informados.</t>
        </is>
      </c>
    </row>
    <row r="24">
      <c r="A24" t="inlineStr"/>
      <c r="B24" t="inlineStr">
        <is>
          <t>Se P_i informado estiver fora da faixa do Quadro 2, justifique em Observações.</t>
        </is>
      </c>
    </row>
    <row r="25">
      <c r="A25" t="inlineStr"/>
      <c r="B25" t="inlineStr"/>
    </row>
    <row r="26">
      <c r="A26" s="6" t="inlineStr">
        <is>
          <t>DADOS QUE JÁ TEMOS (não precisa informar)</t>
        </is>
      </c>
      <c r="B26" s="7" t="inlineStr"/>
    </row>
    <row r="27">
      <c r="A27" t="inlineStr"/>
      <c r="B27" t="inlineStr">
        <is>
          <t>• BOR_adm — calculado pelo Quadro 17 UNCTAD automaticamente</t>
        </is>
      </c>
    </row>
    <row r="28">
      <c r="A28" t="inlineStr"/>
      <c r="B28" t="inlineStr">
        <is>
          <t>• H_ef — calculado a partir de paralisações ANTAQ (quando disponível)</t>
        </is>
      </c>
    </row>
    <row r="29">
      <c r="A29" t="inlineStr"/>
      <c r="B29" t="inlineStr">
        <is>
          <t>• Lm (lote médio) e Ta (tempo atracado) — extraídos do BigQuery ANTAQ</t>
        </is>
      </c>
    </row>
    <row r="30">
      <c r="A30" t="inlineStr"/>
      <c r="B30" t="inlineStr">
        <is>
          <t>• Produtividade observada (prancha) — calculada como Lm / T_op</t>
        </is>
      </c>
    </row>
    <row r="31">
      <c r="A31" t="inlineStr"/>
      <c r="B31" t="inlineStr"/>
    </row>
    <row r="32">
      <c r="A32" s="6" t="inlineStr">
        <is>
          <t>FONTES DE DADOS SUGERIDAS</t>
        </is>
      </c>
      <c r="B32" s="7" t="inlineStr"/>
    </row>
    <row r="33">
      <c r="A33" t="inlineStr"/>
      <c r="B33" t="inlineStr">
        <is>
          <t>• Autoridade Portuária (APPA, CDRJ, Santos Port Authority, etc.)</t>
        </is>
      </c>
    </row>
    <row r="34">
      <c r="A34" t="inlineStr"/>
      <c r="B34" t="inlineStr">
        <is>
          <t>• Contratos de arrendamento (ANTAQ)</t>
        </is>
      </c>
    </row>
    <row r="35">
      <c r="A35" t="inlineStr"/>
      <c r="B35" t="inlineStr">
        <is>
          <t>• Plano de Desenvolvimento e Zoneamento (PDZ)</t>
        </is>
      </c>
    </row>
    <row r="36">
      <c r="A36" t="inlineStr"/>
      <c r="B36" t="inlineStr">
        <is>
          <t>• Plano Mestre do porto</t>
        </is>
      </c>
    </row>
    <row r="37">
      <c r="A37" t="inlineStr"/>
      <c r="B37" t="inlineStr">
        <is>
          <t>• Site do terminal / relatórios anuais</t>
        </is>
      </c>
    </row>
    <row r="38">
      <c r="A38" t="inlineStr"/>
      <c r="B38" t="inlineStr">
        <is>
          <t>• Fabricantes de equipamentos (manuais técnicos)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2026-04-07T17:33:51Z</dcterms:created>
  <dcterms:modified xmlns:dcterms="http://purl.org/dc/terms/" xmlns:xsi="http://www.w3.org/2001/XMLSchema-instance" xsi:type="dcterms:W3CDTF">2026-04-07T17:33:51Z</dcterms:modified>
</cp:coreProperties>
</file>